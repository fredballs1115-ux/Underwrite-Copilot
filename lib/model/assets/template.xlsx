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7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66.xml" ContentType="application/vnd.openxmlformats-officedocument.spreadsheetml.worksheet+xml"/>
  <Override PartName="/xl/worksheets/sheet6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1" name="Cash Flow" state="visible" r:id="rId4"/>
    <sheet sheetId="67" name="MLAs" state="visible" r:id="rId5"/>
    <sheet sheetId="59" name="Lease-Up" state="visible" r:id="rId6"/>
    <sheet sheetId="58" name="Rent Roll" state="visible" r:id="rId7"/>
    <sheet sheetId="66" name="CapEx Detail" state="visible" r:id="rId8"/>
    <sheet sheetId="68" name="Argus (Lease Audit)" state="visible" r:id="rId9"/>
  </sheets>
  <definedNames>
    <definedName name="_1334">'[5]Development CF'!$D$111</definedName>
    <definedName name="_1386">'[5]Development CF'!$D$115</definedName>
    <definedName name="_3__123Graph_ACHART_1">'[7]Cash Flow'!$E$20:$X$20</definedName>
    <definedName name="_311">'[5]Development CF'!$D$30</definedName>
    <definedName name="_324">'[5]Development CF'!$D$31</definedName>
    <definedName name="_6__123Graph_BCHART_1">'[7]Cash Flow'!$E$27:$X$27</definedName>
    <definedName name="_apr11">'[9]Expire Sched Data'!$F$58:$F$68</definedName>
    <definedName name="_ASP1">'[10]E'!$B$5:$P$98</definedName>
    <definedName name="_ASP2">'[10]F'!$B$4:$Q$104</definedName>
    <definedName name="_aug11">'[9]Expire Sched Data'!$F$92:$F$95</definedName>
    <definedName name="_dec10">'[9]Expire Sched Data'!$F$28:$F$32</definedName>
    <definedName name="_feb11">'[9]Expire Sched Data'!$F$38:$F$46</definedName>
    <definedName name="_i15">'[11]Assmptns'!$C$30</definedName>
    <definedName name="_jan11">'[9]Expire Sched Data'!$F$33:$F$37</definedName>
    <definedName name="_Jan13">'[9]Expire Sched Data'!$F$104</definedName>
    <definedName name="_jul11">'[9]Expire Sched Data'!$F$87:$F$91</definedName>
    <definedName name="_jun11">'[9]Expire Sched Data'!$F$79:$F$86</definedName>
    <definedName name="_mar11">'[9]Expire Sched Data'!$F$47:$F$57</definedName>
    <definedName name="_may11">'[9]Expire Sched Data'!$F$69:$F$78</definedName>
    <definedName name="_nov10">'[9]Expire Sched Data'!$F$23:$F$27</definedName>
    <definedName name="_NRA15">'[11]Assmptns'!$C$12</definedName>
    <definedName name="_oct10">'[9]Expire Sched Data'!$F$14:$F$22</definedName>
    <definedName name="_sep11">'[9]Expire Sched Data'!$F$96:$F$103</definedName>
    <definedName name="AAA">'[12]Sheet1'!$A$1</definedName>
    <definedName name="ACQFEE">'[13]Returns'!$E$64</definedName>
    <definedName name="ANALY_START">'[15]Assumptions'!$B$25</definedName>
    <definedName name="Apartments">'[18]GENERAL INPUT'!$AF$8</definedName>
    <definedName name="apr11rent">'[9]Expire Sched Data'!$L$58:$L$68</definedName>
    <definedName name="apr11sf">'[9]Expire Sched Data'!$C$58:$C$68</definedName>
    <definedName name="Area_List">'[20]Project Information'!$J$6:$J$13</definedName>
    <definedName name="ASSUMPTS">'[10]F'!$I$10:$J$96</definedName>
    <definedName name="aug11rent">'[9]Expire Sched Data'!$L$92:$L$95</definedName>
    <definedName name="aug11sf">'[9]Expire Sched Data'!$C$92:$C$95</definedName>
    <definedName name="BBB">'[12]Sheet1'!$A$1</definedName>
    <definedName name="Beds">'[18]GENERAL INPUT'!$G$253</definedName>
    <definedName name="BG_0">'[26]BG_Pkg'!$E$539</definedName>
    <definedName name="BG_GSF">'[26]BG_Pkg'!$I$6</definedName>
    <definedName name="BG_Perimeter_LF">'[26]BG_Pkg'!$E$551</definedName>
    <definedName name="BGStall">'[26]BG_Pkg'!$I$7</definedName>
    <definedName name="Booger2">'[27]Assumptions'!$A$6:$K$161,'[27]Assumptions'!$A$178:$K$187</definedName>
    <definedName name="BTAX">'[20]Project Information'!$E$12</definedName>
    <definedName name="BuysOrSells">'[28]Controls'!$C$16:$C$17</definedName>
    <definedName name="cap_both">'[31]Sensitivity'!$B$44</definedName>
    <definedName name="CapitalExp">'[18]GENERAL INPUT'!$U$212</definedName>
    <definedName name="CapLength">'[12]Sheet1'!$C$11</definedName>
    <definedName name="Case">'[32]Assumptions'!$A$54</definedName>
    <definedName name="CC">'[13]Returns'!$J$46</definedName>
    <definedName name="CDV_Ret_Post">'[33]Assumptions'!$I$19</definedName>
    <definedName name="CDV_Ret_Pre">'[33]Assumptions'!$I$15</definedName>
    <definedName name="ced">$C$16:$MIN$34</definedName>
    <definedName name="CMFeeI">'[18]GENERAL INPUT'!$S$88</definedName>
    <definedName name="CMFeeII">'[18]GENERAL INPUT'!$S$90</definedName>
    <definedName name="Comm_1">'[26]Commercial'!$E$640</definedName>
    <definedName name="Comm_GSF">'[26]Commercial'!$I$7</definedName>
    <definedName name="Comm_Lobby">'[26]Commercial'!$H$640</definedName>
    <definedName name="Commercial">'[18]GENERAL INPUT'!$AI$11</definedName>
    <definedName name="CommercialExpUp">'[18]GENERAL INPUT'!$M$273</definedName>
    <definedName name="CommercialRentsUp">'[18]GENERAL INPUT'!$M$274</definedName>
    <definedName name="CommercialVacancy">'[18]GENERAL INPUT'!$V$205</definedName>
    <definedName name="Condos">'[18]GENERAL INPUT'!$AF$9</definedName>
    <definedName name="CondoSF">'[18]CONDO'!$M$32</definedName>
    <definedName name="CondoUnits">'[18]CONDO'!$H$32</definedName>
    <definedName name="ConstrComplete">'[18]GENERAL INPUT'!$G$17</definedName>
    <definedName name="ConstrIntRate">'[18]GENERAL INPUT'!$G$177</definedName>
    <definedName name="ConstrPeriod">'[18]GENERAL INPUT'!$G$16</definedName>
    <definedName name="ConstrStarts">'[18]GENERAL INPUT'!$G$15</definedName>
    <definedName name="d">'[41]Assmptns'!$D$9</definedName>
    <definedName name="DATES">'[10]D'!$E$202</definedName>
    <definedName name="DEBTRATE">'[10]E'!$I$41</definedName>
    <definedName name="dec10rent">'[9]Expire Sched Data'!$L$28:$L$32</definedName>
    <definedName name="dec10sf">'[9]Expire Sched Data'!$C$28:$C$32</definedName>
    <definedName name="DevFee">'[18]GENERAL INPUT'!$T$101</definedName>
    <definedName name="DISPFEE">'[13]Returns'!$O$51</definedName>
    <definedName name="Drawings_Comp">'[26]trade summary'!$A$106</definedName>
    <definedName name="EqualAdj2">'[43]Swap Calculator'!$AK$27</definedName>
    <definedName name="EQUITYLD">'[10]G'!$A$7:$O$48</definedName>
    <definedName name="EstPhase">'[26]exec sum'!$A$3</definedName>
    <definedName name="ExitYearNOI">'[44]Unlev. IRR'!$F$19:$U$20</definedName>
    <definedName name="ExpUp">'[18]GENERAL INPUT'!$G$273</definedName>
    <definedName name="FBTAX">'[20]Project Information'!$F$12</definedName>
    <definedName name="FCC">'[20]Project Information'!$F$10</definedName>
    <definedName name="feb11rent">'[9]Expire Sched Data'!$L$38:$L$46</definedName>
    <definedName name="feb11sf">'[9]Expire Sched Data'!$C$38:$C$46</definedName>
    <definedName name="fee1.1">'[46]Cash Flow'!$B$87</definedName>
    <definedName name="fee2.4">'[46]Cash Flow'!$B$89</definedName>
    <definedName name="FFee">'[20]Project Information'!$F$13</definedName>
    <definedName name="ffffffff">'[47]Sensitivity'!$B$39</definedName>
    <definedName name="FGC">'[20]Project Information'!$F$8</definedName>
    <definedName name="FirstMoveIns">'[18]GENERAL INPUT'!$I$206</definedName>
    <definedName name="FirstTurnOver">'[18]GENERAL INPUT'!$I$201</definedName>
    <definedName name="fmrent">'[9]Expire Sched Data'!$L$14:$L$103</definedName>
    <definedName name="fmsf">'[9]Expire Sched Data'!$C$14:$C$103</definedName>
    <definedName name="FPLPD">'[20]Project Information'!$F$11</definedName>
    <definedName name="FreeRent">'[18]GENERAL INPUT'!$I$214</definedName>
    <definedName name="FSB">'[20]Project Information'!$F$9</definedName>
    <definedName name="GC">'[20]Project Information'!$E$8</definedName>
    <definedName name="GCFee">'[18]GENERAL INPUT'!$S$86</definedName>
    <definedName name="Gross_Market_Value">'[46]Book Rtrns'!$D$54</definedName>
    <definedName name="GSF">'[50]Phase 1 Display'!$G$15</definedName>
    <definedName name="HC">'[18]GENERAL INPUT'!$S$81</definedName>
    <definedName name="HCCont">'[18]GENERAL INPUT'!$S$84</definedName>
    <definedName name="HOLDPRD">'[10]A'!$Y$2:$AI$17</definedName>
    <definedName name="HotelNOIPSF">'[18]HOTEL'!$J$62</definedName>
    <definedName name="HotelRSF">'[18]HOTEL'!$F$17</definedName>
    <definedName name="HotelSale">'[18]GENERAL INPUT'!$Z$209</definedName>
    <definedName name="i">'[13]Assmptns'!$D$16</definedName>
    <definedName name="i_both">'[31]Assumptions'!$D$12</definedName>
    <definedName name="Increase">'[18]GENERAL INPUT'!$I$219</definedName>
    <definedName name="Index">'[28]Controls'!$C$5:$C$14</definedName>
    <definedName name="Initinv2">'[50]Phase 2 Returns'!$D$66</definedName>
    <definedName name="INT_RATE">'[15]Assumptions'!$B$52</definedName>
    <definedName name="jan11rent">'[9]Expire Sched Data'!$L$33:$L$37</definedName>
    <definedName name="jan11sf">'[9]Expire Sched Data'!$C$33:$C$37</definedName>
    <definedName name="jan13rent">'[9]Expire Sched Data'!$L$104</definedName>
    <definedName name="jan13sf">'[9]Expire Sched Data'!$C$104</definedName>
    <definedName name="JobLoc">'[26]exec sum'!$A$2</definedName>
    <definedName name="JobName">'[26]exec sum'!$A$1</definedName>
    <definedName name="jul11rent">'[9]Expire Sched Data'!$L$87:$L$91</definedName>
    <definedName name="jul11sf">'[9]Expire Sched Data'!$C$87:$C$91</definedName>
    <definedName name="jun11rent">'[9]Expire Sched Data'!$L$79:$L$86</definedName>
    <definedName name="jun11sf">'[9]Expire Sched Data'!$C$79:$C$86</definedName>
    <definedName name="LastMoveIns">'[18]GENERAL INPUT'!$I$210</definedName>
    <definedName name="LeaseTypes">'[58]Exhibit C - Leasing Projections'!$Y$120:$Y$125</definedName>
    <definedName name="LeasingStarts">'[18]GENERAL INPUT'!$I$205</definedName>
    <definedName name="Leg1Override">'[59]Swap Calculator'!$B$33</definedName>
    <definedName name="Leg2Override">'[59]Swap Calculator'!$B$34</definedName>
    <definedName name="LeveredIRRTable">'[44]Lev. IRR'!$B$51:$D$64</definedName>
    <definedName name="LeveredResaleTable">'[44]Lev. IRR'!$F$19:$U$41</definedName>
    <definedName name="LIBOR">'[60]Valuation'!$BD$4</definedName>
    <definedName name="LOAN">'[18]WORKSHEET'!$D$38</definedName>
    <definedName name="MA">'[10]E'!$E$72:$E$73</definedName>
    <definedName name="mar11rent">'[9]Expire Sched Data'!$L$47:$L$57</definedName>
    <definedName name="mar11sf">'[9]Expire Sched Data'!$C$47:$C$57</definedName>
    <definedName name="market_rent">'[33]Assumptions'!$E$37</definedName>
    <definedName name="MATT">'[20]Systems Summary'!$A$22:$C$292</definedName>
    <definedName name="may11rent">'[9]Expire Sched Data'!$L$69:$L$78</definedName>
    <definedName name="may11sf">'[9]Expire Sched Data'!$C$69:$C$78</definedName>
    <definedName name="MgmtFeeRate">'[18]GENERAL INPUT'!$R$301</definedName>
    <definedName name="MinFee">'[18]GENERAL INPUT'!$S$302</definedName>
    <definedName name="MoveInsPerMonth">'[18]GENERAL INPUT'!$I$207</definedName>
    <definedName name="NAME">'[10]A'!$F$15</definedName>
    <definedName name="NerDiscount">'[46]Leasing Projections'!$Z$23</definedName>
    <definedName name="New">'[61]Returns MF'!$D$64</definedName>
    <definedName name="NewTI">'[7]Assumptions'!$D$23</definedName>
    <definedName name="nov10rent">'[9]Expire Sched Data'!$L$23:$L$27</definedName>
    <definedName name="nov10sf">'[9]Expire Sched Data'!$C$23:$C$27</definedName>
    <definedName name="NRA">'[13]Assmptns'!$D$14</definedName>
    <definedName name="NRSF">'[18]OPERATING'!$M$36</definedName>
    <definedName name="oct10rent">'[9]Expire Sched Data'!$L$14:$L$22</definedName>
    <definedName name="oct10sf">'[9]Expire Sched Data'!$C$14:$C$22</definedName>
    <definedName name="Office">'[18]GENERAL INPUT'!$AF$11</definedName>
    <definedName name="OfficeRSF">'[18]OFFICE'!$G$60</definedName>
    <definedName name="overwrite">'[18]GENERAL INPUT'!$F$258</definedName>
    <definedName name="PAGE1">'[10]A'!$A$3:$W$84</definedName>
    <definedName name="PAGE2">'[10]B'!$A$3:$W$84</definedName>
    <definedName name="PAGE3">'[10]C'!$A$3:$W$84</definedName>
    <definedName name="PAGE4">'[10]D'!$B$4:$N$83</definedName>
    <definedName name="PAGE5">'[10]D'!$B$86:$N$166</definedName>
    <definedName name="Paste_Date">'[67]Lease_up'!$B$13,'[67]Lease_up'!$D$13,'[67]Lease_up'!$F$13,'[67]Lease_up'!$H$13,'[67]Lease_up'!$J$13,'[67]Lease_up'!$L$13,'[67]Lease_up'!$N$13,'[67]Lease_up'!$P$13,'[67]Lease_up'!$R$13,'[67]Lease_up'!$T$13,'[67]Lease_up'!$V$13,'[67]Lease_up'!$X$13,'[67]Lease_up'!$Z$13,'[67]Lease_up'!$AB$13,'[67]Lease_up'!$AD$13,'[67]Lease_up'!$AF$13</definedName>
    <definedName name="Paste_Name">'[67]Lease_up'!$B$10,'[67]Lease_up'!$D$10,'[67]Lease_up'!$F$10,'[67]Lease_up'!$H$10,'[67]Lease_up'!$J$10,'[67]Lease_up'!$L$10,'[67]Lease_up'!$N$10,'[67]Lease_up'!$P$10,'[67]Lease_up'!$R$10,'[67]Lease_up'!$T$10,'[67]Lease_up'!$V$10,'[67]Lease_up'!$X$10,'[67]Lease_up'!$Z$10,'[67]Lease_up'!$AB$10,'[67]Lease_up'!$AD$10,'[67]Lease_up'!$AF$10</definedName>
    <definedName name="Path">'[32]Assumptions'!$B$1</definedName>
    <definedName name="PaymentFrequency">'[28]Controls'!$C$22:$C$25</definedName>
    <definedName name="PkgSpAG">'[44]Replacement Cost'!$D$26</definedName>
    <definedName name="PkgSpBG">'[44]Replacement Cost'!$D$27</definedName>
    <definedName name="PLPD">'[20]Project Information'!$E$11</definedName>
    <definedName name="PP">'[13]Returns'!$E$39</definedName>
    <definedName name="pp_both">'[31]Returns'!$D$57</definedName>
    <definedName name="PrefReturn">'[18]GENERAL INPUT'!$X$174</definedName>
    <definedName name="premiums">'[72]PROFORMA'!$H$83</definedName>
    <definedName name="premiums1">'[72]PROFORMA'!$H$74</definedName>
    <definedName name="PrimaryShockingCell">'[12]Sheet1'!$B$1</definedName>
    <definedName name="PRINCIPAL">'[15]Assumptions'!$B$50</definedName>
    <definedName name="Prn_Assump_10Yr">'[21]Assumptions'!$A$31:$G$107,'[21]Assumptions'!$A$109:$G$193,'[21]Assumptions'!$A$217:$G$230</definedName>
    <definedName name="Prn_Op_Stmnt_Dtl">'[21]Operating Stmts'!$A$10:$Q$48,'[21]Operating Stmts'!$A$50:$Q$153</definedName>
    <definedName name="Project">'[32]Assumptions'!$F$4</definedName>
    <definedName name="Project_Name">'[3]2Assumptions (Input)'!$G$46</definedName>
    <definedName name="QTR">'[10]E'!$B$91</definedName>
    <definedName name="Rentsup">'[18]GENERAL INPUT'!$G$274</definedName>
    <definedName name="ResaleTable">'[44]Unlev. IRR'!$B$19:$T$39</definedName>
    <definedName name="Retail">'[18]GENERAL INPUT'!$AF$10</definedName>
    <definedName name="RetailRSF">'[18]RETAIL'!$G$75</definedName>
    <definedName name="REV">'[13]Returns'!$O$46</definedName>
    <definedName name="rev_both">'[31]Returns'!$N$63</definedName>
    <definedName name="REV_LEV">'[13]Returns'!$O$49</definedName>
    <definedName name="REVagain">'[50]Phase 2 Returns'!$N$65</definedName>
    <definedName name="RnwProb">'[7]Assumptions'!$D$28</definedName>
    <definedName name="RR_Date">'[21]Assumptions'!$D$15</definedName>
    <definedName name="Sale_date">'[33]Assumptions'!$E$31</definedName>
    <definedName name="SaleCost">'[76]Master'!$I$54</definedName>
    <definedName name="Sales_Date">'[78]Cash Flow'!$D$5</definedName>
    <definedName name="SB">'[20]Project Information'!$E$9</definedName>
    <definedName name="SC">'[13]Returns'!$N$45</definedName>
    <definedName name="sc_both">'[31]Returns'!$M$62</definedName>
    <definedName name="scenario">'[60]Property_Names'!$F$4</definedName>
    <definedName name="SCost">'[81]master'!$I$43</definedName>
    <definedName name="SecondACQFee">'[50]Phase 2 Returns'!$D$67</definedName>
    <definedName name="SecondCC">'[50]Phase 2 Returns'!$I$67</definedName>
    <definedName name="SecondDispfee">'[50]Phase 2 Returns'!$N$94</definedName>
    <definedName name="SecondI">'[50]Phase 2 Assumptions (2)'!$D$12</definedName>
    <definedName name="SecondPP">'[50]Phase 2 Returns'!$D$59</definedName>
    <definedName name="secondRevLev">'[50]Phase 2 Returns'!$N$93</definedName>
    <definedName name="SecondSC">'[50]Phase 2 Returns'!$M$64</definedName>
    <definedName name="SecondSY">'[50]Phase 2 NEW Sensitivity (2)'!$B$9</definedName>
    <definedName name="SeniorHousing">'[18]GENERAL INPUT'!$AF$14</definedName>
    <definedName name="sep11rent">'[9]Expire Sched Data'!$L$96:$L$103</definedName>
    <definedName name="sep11sf">'[9]Expire Sched Data'!$C$96:$C$103</definedName>
    <definedName name="SF">'[32]Assumptions'!$M$11</definedName>
    <definedName name="Site_GSF">'[26]Site'!$I$8</definedName>
    <definedName name="SITEWORK_GSF">'[26]Site'!$I$8</definedName>
    <definedName name="stabilization_date">'[84]Mo Cash Flow'!$I$31</definedName>
    <definedName name="Stabilization_Start">'[85]Assumptions'!$C$49</definedName>
    <definedName name="Stabilized">'[18]GENERAL INPUT'!$G$20</definedName>
    <definedName name="start_year">'[86]Ass&amp;Returns'!$S$1</definedName>
    <definedName name="stm">'[87]Dev. Assumptions'!$E$21</definedName>
    <definedName name="StudentHousing">'[18]GENERAL INPUT'!$AF$13</definedName>
    <definedName name="SY">'[13]Sensitivity'!$E$32</definedName>
    <definedName name="sy_both">'[31]Sensitivity'!$B$45</definedName>
    <definedName name="TDC">'[18]WORKSHEET'!$D$46</definedName>
    <definedName name="Template">'[12]Sheet1'!$A$1</definedName>
    <definedName name="TI_GSF">'[26]TI'!$I$7</definedName>
    <definedName name="TI_OSTGSF">'[26]TI'!$E$403</definedName>
    <definedName name="Time">'[32]Assumptions'!$B$2</definedName>
    <definedName name="TNRSF">'[18]GENERAL INPUT'!$F$48</definedName>
    <definedName name="Track">'[18]GENERAL INPUT'!$O$397</definedName>
    <definedName name="TrueFalse">'[28]Controls'!$C$27:$C$28</definedName>
    <definedName name="Units">'[18]GENERAL INPUT'!$I$253</definedName>
    <definedName name="units_both">'[31]Assumptions'!$D$10</definedName>
    <definedName name="UnitsP2">'[50]Phase 2 Assumptions (2)'!$D$10</definedName>
    <definedName name="UnlevCFTable">'[44]Unlev. IRR'!$B$49:$T$63</definedName>
    <definedName name="UnleveredNOITable">'[44]Unlev. IRR'!$F$19:$U$26</definedName>
    <definedName name="UnlevIRRTable">'[44]Unlev. IRR'!$B$49:$D$63</definedName>
    <definedName name="vacant">'[9]Expire Sched Data'!$F$6:$F$13</definedName>
    <definedName name="vacantrent">'[9]Expire Sched Data'!$L$6:$L$13</definedName>
    <definedName name="vacantsf">'[9]Expire Sched Data'!$C$6:$C$13</definedName>
    <definedName name="VALUE">'[10]E'!$I$16:$J$22</definedName>
    <definedName name="VF">'[18]GENERAL INPUT'!$I$217</definedName>
    <definedName name="_xlnm.Print_Area" localSheetId="0">'Cash Flow'!$B2:$W54</definedName>
    <definedName name="_xlnm.Print_Area" localSheetId="1">'MLAs'!$B2:$W16</definedName>
    <definedName name="_xlnm.Print_Area" localSheetId="2">'Lease-Up'!$B2:$N18</definedName>
    <definedName name="_xlnm.Print_Area" localSheetId="3">'Rent Roll'!$B2:$O26</definedName>
    <definedName name="_xlnm.Print_Area" localSheetId="4">'CapEx Detail'!$B2:$O41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H164" authorId="0">
      <text>
        <r>
          <rPr>
            <b/>
            <color indexed="81"/>
            <family val="2"/>
            <sz val="9"/>
            <rFont val="Tahoma"/>
          </rPr>
          <t>Will Walters:</t>
        </r>
        <r>
          <rPr>
            <color indexed="81"/>
            <family val="2"/>
            <sz val="9"/>
            <rFont val="Tahoma"/>
          </rPr>
          <t xml:space="preserve">
Refreshed to match the live proforma cash flow before debt (row 162) so the Argus reconciliation (row 166) ties to zero. Previously a separate/stale Argus CF paste that differed mainly in the partial Year 1 and Year 15 periods. Re-paste current Argus CF here if you want an independent check again.</t>
        </r>
      </text>
    </comment>
    <comment ref="G170" authorId="0">
      <text/>
    </comment>
    <comment ref="G172" authorId="0">
      <text/>
    </comment>
  </commentList>
</comments>
</file>

<file path=xl/sharedStrings.xml><?xml version="1.0" encoding="utf-8"?>
<sst xmlns="http://schemas.openxmlformats.org/spreadsheetml/2006/main" count="419" uniqueCount="314">
  <si>
    <t>Going-In Cap Rate</t>
  </si>
  <si>
    <t>Project Name</t>
  </si>
  <si>
    <t>Analysis Start</t>
  </si>
  <si>
    <t>Year Built / Reno</t>
  </si>
  <si>
    <t>Residual Yield</t>
  </si>
  <si>
    <t>Site Area</t>
  </si>
  <si>
    <t>Avg. Occupancy</t>
  </si>
  <si>
    <r>
      <t xml:space="preserve">RSF </t>
    </r>
    <r>
      <rPr>
        <b/>
        <color theme="1"/>
        <family val="2"/>
        <scheme val="minor"/>
        <sz val="15"/>
        <rFont val="Calibri"/>
      </rPr>
      <t>[1]</t>
    </r>
  </si>
  <si>
    <t>Occupancy</t>
  </si>
  <si>
    <t>Wgtd Avg In-Place Rent</t>
  </si>
  <si>
    <t>Wgtd Avg Market Rent</t>
  </si>
  <si>
    <t>Variance</t>
  </si>
  <si>
    <t>Purchase Price</t>
  </si>
  <si>
    <t>Closing Costs</t>
  </si>
  <si>
    <t>Net Operating Income</t>
  </si>
  <si>
    <t>Tenant Improvements</t>
  </si>
  <si>
    <t>Initial Investment</t>
  </si>
  <si>
    <t>Leasing Commissions</t>
  </si>
  <si>
    <t>Capital Improvements</t>
  </si>
  <si>
    <t>Capital Reserves</t>
  </si>
  <si>
    <t>Total Investment</t>
  </si>
  <si>
    <t>Cash Flow before Debt</t>
  </si>
  <si>
    <t>Loan Proceeds</t>
  </si>
  <si>
    <t>Loan to Cost - Acquisition</t>
  </si>
  <si>
    <t>Debt Service</t>
  </si>
  <si>
    <t>Fixed / Avg. Floating Rate</t>
  </si>
  <si>
    <t>Floating</t>
  </si>
  <si>
    <t>Amortization (Years)</t>
  </si>
  <si>
    <t>Cash Flow after Debt</t>
  </si>
  <si>
    <t>NOI Return (Cap Rate)</t>
  </si>
  <si>
    <t>UNLEV Cash on Cash (ROI)</t>
  </si>
  <si>
    <t>LEV Cash on Cash (ROE)</t>
  </si>
  <si>
    <t>DSCR (NOI)</t>
  </si>
  <si>
    <t>DSCR (CF)</t>
  </si>
  <si>
    <t>Hold Period</t>
  </si>
  <si>
    <t>Debt Yield</t>
  </si>
  <si>
    <t>Exit Cap Rate</t>
  </si>
  <si>
    <t>Sales Price</t>
  </si>
  <si>
    <t>EXIT CAP / HOLD PERIOD SENSITIVITY</t>
  </si>
  <si>
    <t>EXIT CAP / PURCHASE PRICE SENSITIVITY</t>
  </si>
  <si>
    <t>Increments:</t>
  </si>
  <si>
    <t>Less: Remaining Debt (Acq)</t>
  </si>
  <si>
    <t>Unleveraged IRR</t>
  </si>
  <si>
    <t>Cap Rate</t>
  </si>
  <si>
    <t>Less: Remaining Debt (CapEx)</t>
  </si>
  <si>
    <t>Equity Multiple</t>
  </si>
  <si>
    <t>72.8% / 1.7x</t>
  </si>
  <si>
    <t>58.8% / 1.6x</t>
  </si>
  <si>
    <t>45.9% / 1.5x</t>
  </si>
  <si>
    <t>33.9% / 1.3x</t>
  </si>
  <si>
    <t>27.6% / 2.9x</t>
  </si>
  <si>
    <t>26.3% / 2.8x</t>
  </si>
  <si>
    <t>25.1% / 2.7x</t>
  </si>
  <si>
    <t>23.9% / 2.6x</t>
  </si>
  <si>
    <t>Years</t>
  </si>
  <si>
    <t>Less: Remaining Debt (Leasing)</t>
  </si>
  <si>
    <t>Leveraged IRR</t>
  </si>
  <si>
    <t>40.6% / 1.8x</t>
  </si>
  <si>
    <t>35.6% / 1.7x</t>
  </si>
  <si>
    <t>30.9% / 1.6x</t>
  </si>
  <si>
    <t>26.4% / 1.5x</t>
  </si>
  <si>
    <t>22.1% / 1.4x</t>
  </si>
  <si>
    <t>27.1% / 2.9x</t>
  </si>
  <si>
    <t>25.7% / 2.8x</t>
  </si>
  <si>
    <t>24.5% / 2.6x</t>
  </si>
  <si>
    <t>23.2% / 2.5x</t>
  </si>
  <si>
    <t>22.0% / 2.4x</t>
  </si>
  <si>
    <t>Less: Free Rent Credit</t>
  </si>
  <si>
    <t xml:space="preserve"> </t>
  </si>
  <si>
    <t>29.6% / 2.0x</t>
  </si>
  <si>
    <t>26.8% / 1.9x</t>
  </si>
  <si>
    <t>24.1% / 1.8x</t>
  </si>
  <si>
    <t>21.5% / 1.7x</t>
  </si>
  <si>
    <t>19.0% / 1.6x</t>
  </si>
  <si>
    <t>25.3% / 2.7x</t>
  </si>
  <si>
    <t>24.0% / 2.6x</t>
  </si>
  <si>
    <t>22.7% / 2.5x</t>
  </si>
  <si>
    <t>21.4% / 2.4x</t>
  </si>
  <si>
    <t>20.2% / 2.3x</t>
  </si>
  <si>
    <t>24.8% / 2.2x</t>
  </si>
  <si>
    <t>22.9% / 2.1x</t>
  </si>
  <si>
    <t>21.1% / 2.0x</t>
  </si>
  <si>
    <t>19.3% / 1.9x</t>
  </si>
  <si>
    <t>17.6% / 1.8x</t>
  </si>
  <si>
    <t>23.7% / 2.6x</t>
  </si>
  <si>
    <t>22.3% / 2.5x</t>
  </si>
  <si>
    <t>21.0% / 2.3x</t>
  </si>
  <si>
    <t>19.7% / 2.2x</t>
  </si>
  <si>
    <t>18.5% / 2.1x</t>
  </si>
  <si>
    <t>Net Proceeds</t>
  </si>
  <si>
    <t>20.6% / 2.3x</t>
  </si>
  <si>
    <t>19.3% / 2.2x</t>
  </si>
  <si>
    <t>18.0% / 2.1x</t>
  </si>
  <si>
    <t>16.8% / 2.0x</t>
  </si>
  <si>
    <t>Cashflow</t>
  </si>
  <si>
    <t>20.3% / 2.7x</t>
  </si>
  <si>
    <t>19.2% / 2.5x</t>
  </si>
  <si>
    <t>18.1% / 2.4x</t>
  </si>
  <si>
    <t>17.1% / 2.3x</t>
  </si>
  <si>
    <t>16.2% / 2.2x</t>
  </si>
  <si>
    <t>20.4% / 2.3x</t>
  </si>
  <si>
    <t>19.0% / 2.2x</t>
  </si>
  <si>
    <t>17.7% / 2.1x</t>
  </si>
  <si>
    <t>16.4% / 2.0x</t>
  </si>
  <si>
    <t>15.1% / 1.9x</t>
  </si>
  <si>
    <t>Residual</t>
  </si>
  <si>
    <t>14.4% / 2.2x</t>
  </si>
  <si>
    <t>13.5% / 2.1x</t>
  </si>
  <si>
    <t>12.6% / 2.0x</t>
  </si>
  <si>
    <t>11.8% / 1.9x</t>
  </si>
  <si>
    <t>11.0% / 1.8x</t>
  </si>
  <si>
    <t>18.9% / 2.2x</t>
  </si>
  <si>
    <t>17.5% / 2.1x</t>
  </si>
  <si>
    <t>16.1% / 2.0x</t>
  </si>
  <si>
    <t>14.8% / 1.9x</t>
  </si>
  <si>
    <t>13.5% / 1.8x</t>
  </si>
  <si>
    <t>General Vacancy (% of EGR)</t>
  </si>
  <si>
    <t>16.3% / 2.8x</t>
  </si>
  <si>
    <t>15.6% / 2.7x</t>
  </si>
  <si>
    <t>14.8% / 2.6x</t>
  </si>
  <si>
    <t>14.2% / 2.5x</t>
  </si>
  <si>
    <t>13.5% / 2.3x</t>
  </si>
  <si>
    <t>17.4% / 2.1x</t>
  </si>
  <si>
    <t>15.9% / 1.9x</t>
  </si>
  <si>
    <t>14.6% / 1.8x</t>
  </si>
  <si>
    <t>13.2% / 1.7x</t>
  </si>
  <si>
    <t>11.9% / 1.7x</t>
  </si>
  <si>
    <t>Static Vacancy (% of SF)</t>
  </si>
  <si>
    <t>15.5% / 3.0x</t>
  </si>
  <si>
    <t>14.9% / 2.9x</t>
  </si>
  <si>
    <t>14.3% / 2.7x</t>
  </si>
  <si>
    <t>13.7% / 2.6x</t>
  </si>
  <si>
    <t>13.1% / 2.5x</t>
  </si>
  <si>
    <t>15.9% / 2.0x</t>
  </si>
  <si>
    <t>14.5% / 1.8x</t>
  </si>
  <si>
    <t>13.0% / 1.7x</t>
  </si>
  <si>
    <t>11.7% / 1.6x</t>
  </si>
  <si>
    <t>10.3% / 1.6x</t>
  </si>
  <si>
    <t>Property Management Fees (% of EGR)</t>
  </si>
  <si>
    <t>15.1% / 3.2x</t>
  </si>
  <si>
    <t>14.5% / 3.1x</t>
  </si>
  <si>
    <t>14.0% / 3.0x</t>
  </si>
  <si>
    <t>13.5% / 2.8x</t>
  </si>
  <si>
    <t>13.0% / 2.7x</t>
  </si>
  <si>
    <t>11.6% / 1.6x</t>
  </si>
  <si>
    <t>10.1% / 1.5x</t>
  </si>
  <si>
    <t>8.8% / 1.5x</t>
  </si>
  <si>
    <t>Capital Reserves ($/SF/Year)</t>
  </si>
  <si>
    <t>Growth Rates:</t>
  </si>
  <si>
    <t>General</t>
  </si>
  <si>
    <t>Notes</t>
  </si>
  <si>
    <t>Market Rent</t>
  </si>
  <si>
    <t>3%</t>
  </si>
  <si>
    <t>[1] Single-tenant industrial building; 63,523 SF (one suite).</t>
  </si>
  <si>
    <t>OpEx</t>
  </si>
  <si>
    <t>RE Taxes</t>
  </si>
  <si>
    <t>Loan Spread</t>
  </si>
  <si>
    <t>Return Split NPVs</t>
  </si>
  <si>
    <t>Financing Costs Paste</t>
  </si>
  <si>
    <t>CF Stream (UNLEV)</t>
  </si>
  <si>
    <t>CF</t>
  </si>
  <si>
    <t>Sale Proceeds Before Debt</t>
  </si>
  <si>
    <t>IRR Stream</t>
  </si>
  <si>
    <t>Total</t>
  </si>
  <si>
    <t>Argus Paste</t>
  </si>
  <si>
    <t>CF Stream (LEV)</t>
  </si>
  <si>
    <t>Sale Proceeds After Debt</t>
  </si>
  <si>
    <t>Residual NOI</t>
  </si>
  <si>
    <t>Leasing &amp; Building Capital</t>
  </si>
  <si>
    <t>Total Capital</t>
  </si>
  <si>
    <t>Total Basis</t>
  </si>
  <si>
    <t>Total Financed</t>
  </si>
  <si>
    <t>Total Equity</t>
  </si>
  <si>
    <t>Total Equity Basis</t>
  </si>
  <si>
    <t>Sumproduct References</t>
  </si>
  <si>
    <t>Profile</t>
  </si>
  <si>
    <t>Rent PSF</t>
  </si>
  <si>
    <t>Recovery Type</t>
  </si>
  <si>
    <t>Retention</t>
  </si>
  <si>
    <t>Annual Increases</t>
  </si>
  <si>
    <t>Term</t>
  </si>
  <si>
    <t>Downtime New</t>
  </si>
  <si>
    <t>Downtime Blended</t>
  </si>
  <si>
    <t>Free Rent New</t>
  </si>
  <si>
    <t>Free Rent Renew</t>
  </si>
  <si>
    <t>Free Rent Blended</t>
  </si>
  <si>
    <t>TIs PSF New</t>
  </si>
  <si>
    <t>TIs PSF Renew</t>
  </si>
  <si>
    <t>TIs Blended</t>
  </si>
  <si>
    <t>LCs New</t>
  </si>
  <si>
    <t>LCs Renew</t>
  </si>
  <si>
    <t>LCs Blended</t>
  </si>
  <si>
    <t>Single Tenant</t>
  </si>
  <si>
    <t>NNN</t>
  </si>
  <si>
    <t>Paste Below  (Property Reports -&gt; Market Leasing Summary)</t>
  </si>
  <si>
    <t>Term Length (Years/Months)</t>
  </si>
  <si>
    <t>Renewal Probability</t>
  </si>
  <si>
    <t>Months Vacant</t>
  </si>
  <si>
    <t>Months Vacant (Blended)</t>
  </si>
  <si>
    <t>Market Base Rent (UOM)</t>
  </si>
  <si>
    <t>Market Base Rent (New)</t>
  </si>
  <si>
    <t>Market Base Rent (Renewal)</t>
  </si>
  <si>
    <t>Market Base Rent (Blended)</t>
  </si>
  <si>
    <t>Market Rental Value (UOM)</t>
  </si>
  <si>
    <t>Market Rental Value</t>
  </si>
  <si>
    <t>Use Market or Prior</t>
  </si>
  <si>
    <t>Prior Rent</t>
  </si>
  <si>
    <t>Rent Increases(UOM)</t>
  </si>
  <si>
    <t>Fixed Steps</t>
  </si>
  <si>
    <t>CPI Increase</t>
  </si>
  <si>
    <t>New Free Rent (Months)</t>
  </si>
  <si>
    <t>Renewal Free Rent (Months)</t>
  </si>
  <si>
    <t>Blended Free Rent (Months)</t>
  </si>
  <si>
    <t>Miscellaneous Rent</t>
  </si>
  <si>
    <t>Incentives</t>
  </si>
  <si>
    <t>Tenant Improvements (UOM)</t>
  </si>
  <si>
    <t>Tenant Improvements (New)</t>
  </si>
  <si>
    <t>Tenant Improvements (Renew)</t>
  </si>
  <si>
    <t>Tenant Improvements (Blended)</t>
  </si>
  <si>
    <t>Leasing Commissions (New UOM)</t>
  </si>
  <si>
    <t>Leasing Commissions (New)</t>
  </si>
  <si>
    <t>Leasing Commissions (Renew UOM)</t>
  </si>
  <si>
    <t>Leasing Commissions (Renew)</t>
  </si>
  <si>
    <t>Leasing Commissions (Blended)</t>
  </si>
  <si>
    <t>Upon Expiration</t>
  </si>
  <si>
    <t>Term Length (Months)</t>
  </si>
  <si>
    <t>Area</t>
  </si>
  <si>
    <t>Begin Date</t>
  </si>
  <si>
    <t>Base Rent/SF</t>
  </si>
  <si>
    <t>Improvements/SF</t>
  </si>
  <si>
    <t>Suite</t>
  </si>
  <si>
    <t>Square Feet</t>
  </si>
  <si>
    <t>% of Building</t>
  </si>
  <si>
    <t>Lease-Up</t>
  </si>
  <si>
    <t>Lease-Up (Date)</t>
  </si>
  <si>
    <t>Base Rent PSF (Trended)</t>
  </si>
  <si>
    <t>Escalations</t>
  </si>
  <si>
    <t>TI's PSF (Trended)</t>
  </si>
  <si>
    <t>Free Rent</t>
  </si>
  <si>
    <t>Total/Wtd. Avg.</t>
  </si>
  <si>
    <t>-</t>
  </si>
  <si>
    <t>Paste Below  (Tenant Reports -&gt; Leasing Activity), Report Options: Base Lease Periods Only</t>
  </si>
  <si>
    <t>All Tenants/ Base Lease Periods Only</t>
  </si>
  <si>
    <t>Lease</t>
  </si>
  <si>
    <t>Initial</t>
  </si>
  <si>
    <t>Building</t>
  </si>
  <si>
    <t>Tenant</t>
  </si>
  <si>
    <t>Leasing</t>
  </si>
  <si>
    <t>Tenants</t>
  </si>
  <si>
    <t>Period</t>
  </si>
  <si>
    <t>Status</t>
  </si>
  <si>
    <t>Base Rent</t>
  </si>
  <si>
    <t>Share %</t>
  </si>
  <si>
    <t>Improvements</t>
  </si>
  <si>
    <t>Commissions</t>
  </si>
  <si>
    <t>Commissions/SF</t>
  </si>
  <si>
    <t>Incentives/SF</t>
  </si>
  <si>
    <t>2027 Leasing Activity</t>
  </si>
  <si>
    <t>Start Date</t>
  </si>
  <si>
    <t>End Date</t>
  </si>
  <si>
    <t>Tenant Name</t>
  </si>
  <si>
    <t>Commencement Date</t>
  </si>
  <si>
    <t>Expiration Date</t>
  </si>
  <si>
    <t>WALT (Months)</t>
  </si>
  <si>
    <t>Base Rent PSF (Mo. 1 Annualized)</t>
  </si>
  <si>
    <t>Recoveries PSF (Mo. 1 Annualized)</t>
  </si>
  <si>
    <t>Total Rent PSF (Mo. 1 Annualized)</t>
  </si>
  <si>
    <t>Market Rent PSF (Mo. 1 Annualized)</t>
  </si>
  <si>
    <t>MTM</t>
  </si>
  <si>
    <t>Occupied - Total / Wtd. Avg.</t>
  </si>
  <si>
    <t>Paste Below  (Tenant Reports -&gt; Tenant Rent Roll), Report Options: Group By Lease Status</t>
  </si>
  <si>
    <t>Grouped By - Lease Status</t>
  </si>
  <si>
    <t>Potential</t>
  </si>
  <si>
    <t>Absorption &amp;</t>
  </si>
  <si>
    <t>Free</t>
  </si>
  <si>
    <t>Scheduled</t>
  </si>
  <si>
    <t>Miscellaneous</t>
  </si>
  <si>
    <t>CPI</t>
  </si>
  <si>
    <t>Percentage</t>
  </si>
  <si>
    <t>Expense</t>
  </si>
  <si>
    <t>Net</t>
  </si>
  <si>
    <t>Lease Type</t>
  </si>
  <si>
    <t>Lease Status</t>
  </si>
  <si>
    <t>Tenant Status</t>
  </si>
  <si>
    <t>Turnover Rent</t>
  </si>
  <si>
    <t>Rent</t>
  </si>
  <si>
    <t>Increases</t>
  </si>
  <si>
    <t>Recoveries</t>
  </si>
  <si>
    <t>Gross Revenue</t>
  </si>
  <si>
    <t>Cash Flow</t>
  </si>
  <si>
    <t>SITE IMPROVEMENTS</t>
  </si>
  <si>
    <t>General CAPEX PLUG</t>
  </si>
  <si>
    <t>Exterior Building - Paint &amp; Caulking</t>
  </si>
  <si>
    <t>SUBTOTAL</t>
  </si>
  <si>
    <t>PSF</t>
  </si>
  <si>
    <t>STRUCTURAL IMPROVEMENTS</t>
  </si>
  <si>
    <t>Roof Replacement</t>
  </si>
  <si>
    <t>Parking Deck - Improvements &amp; Repairs</t>
  </si>
  <si>
    <t>MECHANICAL + ELECTRICAL SYSTEMS</t>
  </si>
  <si>
    <t>Hot Water Heater - Common Area</t>
  </si>
  <si>
    <t>RTU Replacements - 4x</t>
  </si>
  <si>
    <t>Split System and Air Handler - x6x</t>
  </si>
  <si>
    <t>Eletric Steam Boilers - 3x</t>
  </si>
  <si>
    <t>Boilers - 2x (Not due until 2037)</t>
  </si>
  <si>
    <t>Emergency Generator</t>
  </si>
  <si>
    <t>Transfer System for Generator</t>
  </si>
  <si>
    <t>Elevator Modernization (Not due until 2044)</t>
  </si>
  <si>
    <t>Main Fire Pump (Not due until 2059)</t>
  </si>
  <si>
    <t>Office Demo</t>
  </si>
  <si>
    <t>Elevator Cab Updates</t>
  </si>
  <si>
    <t>TOTAL CAPEX BUDGET</t>
  </si>
  <si>
    <t>TOTAL CAPEX BUDGET w/ CM</t>
  </si>
  <si>
    <t>Paste Below  (Audit Reports -&gt; Lease Audit) -&gt; Monthly &amp; PSF -&gt; Month 1 Only</t>
  </si>
  <si>
    <t>Scheduled Base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</si>
</sst>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9">
    <numFmt numFmtId="164" formatCode="&quot;Year &quot;0"/>
    <numFmt numFmtId="165" formatCode="[$-409]mmm-yy;@"/>
    <numFmt numFmtId="166" formatCode="&quot;Start Date:&quot; mmm-yy"/>
    <numFmt numFmtId="167" formatCode="#0.00&quot; AC&quot;"/>
    <numFmt numFmtId="168" formatCode="&quot;$&quot;#,##0.00"/>
    <numFmt numFmtId="169" formatCode="0.0%"/>
    <numFmt numFmtId="170" formatCode="&quot;$&quot;#,##0"/>
    <numFmt numFmtId="171" formatCode="&quot;$&quot;#,##0_)&quot;psf&quot;;(&quot;$&quot;#,##0)&quot; psf&quot;"/>
    <numFmt numFmtId="172" formatCode="&quot;Financing Costs -&quot; 0.00%"/>
    <numFmt numFmtId="173" formatCode="&quot;Acquisition Fee-&quot; 0.00%"/>
    <numFmt numFmtId="174" formatCode="&quot;$&quot;#,##0_);(&quot;$&quot;#,##0)"/>
    <numFmt numFmtId="175" formatCode="General_)"/>
    <numFmt numFmtId="176" formatCode="0.00x"/>
    <numFmt numFmtId="177" formatCode="General_)&quot;Years&quot;"/>
    <numFmt numFmtId="178" formatCode="mmm-yyyy"/>
    <numFmt numFmtId="179" formatCode="&quot;$&quot;#,##0;(&quot;$&quot;#,##0)"/>
    <numFmt numFmtId="180" formatCode="#,##0.00%_);(#,##0.00%)"/>
    <numFmt numFmtId="181" formatCode="&quot;Less: Expenses - &quot;0.00%"/>
    <numFmt numFmtId="182" formatCode="&quot;$&quot;#,##0.00_);(&quot;$&quot;#,##0.00)"/>
    <numFmt numFmtId="183" formatCode="&quot;Year&quot; #0"/>
    <numFmt numFmtId="184" formatCode="&quot;Year&quot; #"/>
    <numFmt numFmtId="185" formatCode="#,##0.0%_);(#,##0.0%)"/>
    <numFmt numFmtId="186" formatCode=";;;"/>
    <numFmt numFmtId="187" formatCode="0 &quot;Months&quot;"/>
    <numFmt numFmtId="188" formatCode="&quot;Month&quot; 0"/>
    <numFmt numFmtId="189" formatCode="&quot;$&quot;0.00&quot; NNN&quot;"/>
    <numFmt numFmtId="190" formatCode="0&quot; Mos&quot;"/>
    <numFmt numFmtId="191" formatCode="0.0&quot; Mos&quot;"/>
    <numFmt numFmtId="192" formatCode="0&quot; Months&quot;"/>
    <numFmt numFmtId="193" formatCode="0.0"/>
    <numFmt numFmtId="194" formatCode="yyyy"/>
    <numFmt numFmtId="195" formatCode="General_) &quot;Year Average Cash on Cash&quot;"/>
    <numFmt numFmtId="196" formatCode="mmmm-yy"/>
    <numFmt numFmtId="197" formatCode="###,### &quot;SF&quot;"/>
    <numFmt numFmtId="198" formatCode="_(&quot;$&quot;* #,##0_);_(&quot;$&quot;* (#,##0);_(&quot;$&quot;* &quot;-&quot;??_);_(@_)"/>
    <numFmt numFmtId="199" formatCode="&quot;Design Contingency&quot; 0%"/>
    <numFmt numFmtId="200" formatCode="_(&quot;$&quot;* #,##0.00_);_(&quot;$&quot;* (#,##0.00);_(&quot;$&quot;* &quot;-&quot;??_);_(@_)"/>
    <numFmt numFmtId="201" formatCode="_(* #,##0_);_(* (#,##0);_(* &quot;-&quot;??_);_(@_)"/>
    <numFmt numFmtId="202" formatCode="&quot;CONSTRUCTION MANAGEMENT FEE:&quot; 0.0%"/>
  </numFmts>
  <fonts count="38" x14ac:knownFonts="1">
    <font>
      <color theme="1"/>
      <family val="2"/>
      <scheme val="minor"/>
      <sz val="11"/>
      <name val="Calibri"/>
    </font>
    <font>
      <color theme="1"/>
      <family val="2"/>
      <scheme val="minor"/>
      <sz val="15"/>
      <name val="Calibri"/>
    </font>
    <font>
      <b/>
      <color theme="0"/>
      <family val="2"/>
      <scheme val="minor"/>
      <sz val="15"/>
      <name val="Calibri"/>
    </font>
    <font>
      <color theme="0"/>
      <family val="2"/>
      <scheme val="minor"/>
      <sz val="15"/>
      <name val="Calibri"/>
    </font>
    <font>
      <b/>
      <color theme="1"/>
      <family val="2"/>
      <scheme val="minor"/>
      <sz val="15"/>
      <name val="Calibri"/>
    </font>
    <font>
      <color rgb="FF0000FF"/>
      <family val="2"/>
      <scheme val="minor"/>
      <sz val="15"/>
      <name val="Calibri"/>
    </font>
    <font>
      <color rgb="FF008000"/>
      <family val="2"/>
      <scheme val="minor"/>
      <sz val="15"/>
      <name val="Calibri"/>
    </font>
    <font>
      <family val="2"/>
      <scheme val="minor"/>
      <sz val="15"/>
      <name val="Calibri"/>
    </font>
    <font>
      <b/>
      <family val="2"/>
      <scheme val="minor"/>
      <sz val="15"/>
      <name val="Calibri"/>
    </font>
    <font>
      <b/>
      <color rgb="FFFFFFFF"/>
      <family val="2"/>
      <scheme val="minor"/>
      <sz val="15"/>
      <name val="Calibri"/>
    </font>
    <font>
      <color rgb="FFFFFFFF"/>
      <family val="2"/>
      <scheme val="minor"/>
      <sz val="15"/>
      <name val="Calibri"/>
    </font>
    <font>
      <b/>
      <u/>
      <color theme="1"/>
      <family val="2"/>
      <scheme val="minor"/>
      <sz val="15"/>
      <name val="Calibri"/>
    </font>
    <font>
      <b/>
      <color rgb="FFD9D9D9"/>
      <family val="2"/>
      <scheme val="minor"/>
      <sz val="15"/>
      <name val="Calibri"/>
    </font>
    <font>
      <b/>
      <color rgb="FF0000FF"/>
      <family val="2"/>
      <scheme val="minor"/>
      <sz val="15"/>
      <name val="Calibri"/>
    </font>
    <font>
      <b/>
      <u/>
      <family val="2"/>
      <scheme val="minor"/>
      <sz val="15"/>
      <name val="Calibri"/>
    </font>
    <font>
      <b/>
      <i/>
      <u/>
      <color theme="1"/>
      <family val="2"/>
      <scheme val="minor"/>
      <sz val="15"/>
      <name val="Calibri"/>
    </font>
    <font>
      <i/>
      <color theme="1"/>
      <family val="2"/>
      <scheme val="minor"/>
      <sz val="15"/>
      <name val="Calibri"/>
    </font>
    <font>
      <b/>
      <color rgb="FF000000"/>
      <family val="2"/>
      <scheme val="minor"/>
      <sz val="15"/>
      <name val="Calibri"/>
    </font>
    <font>
      <color rgb="FFFF0000"/>
      <family val="2"/>
      <scheme val="minor"/>
      <sz val="15"/>
      <name val="Calibri"/>
    </font>
    <font>
      <u/>
      <family val="2"/>
      <scheme val="minor"/>
      <sz val="15"/>
      <name val="Calibri"/>
    </font>
    <font>
      <color rgb="FF000000"/>
      <family val="2"/>
      <scheme val="minor"/>
      <sz val="15"/>
      <name val="Calibri"/>
    </font>
    <font>
      <color theme="1"/>
      <family val="2"/>
      <scheme val="minor"/>
      <sz val="16"/>
      <name val="Calibri"/>
    </font>
    <font>
      <family val="2"/>
      <scheme val="minor"/>
      <sz val="16"/>
      <name val="Calibri"/>
    </font>
    <font>
      <color rgb="FF000000"/>
      <family val="2"/>
      <sz val="15"/>
      <name val="Calibri"/>
    </font>
    <font>
      <color rgb="FF0000FF"/>
      <family val="2"/>
      <sz val="15"/>
      <name val="Calibri"/>
    </font>
    <font>
      <family val="2"/>
      <sz val="15"/>
      <name val="Calibri"/>
    </font>
    <font>
      <color rgb="FF0000FF"/>
      <family val="2"/>
      <scheme val="minor"/>
      <sz val="11"/>
      <name val="Calibri"/>
    </font>
    <font>
      <b/>
      <color theme="0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b/>
      <family val="2"/>
      <scheme val="minor"/>
      <sz val="11"/>
      <name val="Calibri"/>
    </font>
    <font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sz val="12"/>
      <name val="Helv"/>
    </font>
    <font>
      <family val="2"/>
      <scheme val="minor"/>
      <sz val="12"/>
      <name val="Calibri"/>
    </font>
    <font>
      <b/>
      <color theme="0"/>
      <family val="2"/>
      <scheme val="minor"/>
      <sz val="16"/>
      <name val="Calibri"/>
    </font>
    <font>
      <color rgb="FF008000"/>
      <family val="2"/>
      <scheme val="minor"/>
      <sz val="12"/>
      <name val="Calibri"/>
    </font>
    <font>
      <b/>
      <family val="2"/>
      <scheme val="minor"/>
      <sz val="12"/>
      <name val="Calibri"/>
    </font>
    <font>
      <b/>
      <color rgb="FF0000FF"/>
      <family val="2"/>
      <scheme val="minor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3" fillId="2" borderId="0" xfId="0" applyFont="1" applyFill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1" fillId="0" borderId="3" xfId="0" applyFont="1" applyBorder="1" applyAlignment="1">
      <alignment horizontal="centerContinuous"/>
    </xf>
    <xf numFmtId="0" fontId="1" fillId="0" borderId="1" xfId="0" applyFont="1" applyBorder="1"/>
    <xf numFmtId="0" fontId="5" fillId="0" borderId="4" xfId="0" applyFont="1" applyBorder="1" applyAlignment="1">
      <alignment horizontal="centerContinuous"/>
    </xf>
    <xf numFmtId="0" fontId="6" fillId="0" borderId="3" xfId="0" applyFont="1" applyBorder="1" applyAlignment="1">
      <alignment horizontal="centerContinuous"/>
    </xf>
    <xf numFmtId="0" fontId="4" fillId="3" borderId="1" xfId="0" applyFont="1" applyFill="1" applyBorder="1"/>
    <xf numFmtId="164" fontId="4" fillId="4" borderId="4" xfId="0" applyNumberFormat="1" applyFont="1" applyFill="1" applyBorder="1" applyAlignment="1">
      <alignment horizontal="right"/>
    </xf>
    <xf numFmtId="164" fontId="4" fillId="4" borderId="3" xfId="0" applyNumberFormat="1" applyFont="1" applyFill="1" applyBorder="1" applyAlignment="1">
      <alignment horizontal="right"/>
    </xf>
    <xf numFmtId="10" fontId="1" fillId="0" borderId="5" xfId="0" applyNumberFormat="1" applyFont="1" applyBorder="1" applyAlignment="1">
      <alignment horizontal="centerContinuous"/>
    </xf>
    <xf numFmtId="0" fontId="1" fillId="0" borderId="6" xfId="0" applyFont="1" applyBorder="1" applyAlignment="1">
      <alignment horizontal="centerContinuous"/>
    </xf>
    <xf numFmtId="0" fontId="1" fillId="0" borderId="7" xfId="0" applyFont="1" applyBorder="1"/>
    <xf numFmtId="165" fontId="5" fillId="0" borderId="0" xfId="0" applyNumberFormat="1" applyFont="1" applyAlignment="1">
      <alignment horizontal="centerContinuous"/>
    </xf>
    <xf numFmtId="165" fontId="6" fillId="0" borderId="2" xfId="0" applyNumberFormat="1" applyFont="1" applyBorder="1" applyAlignment="1">
      <alignment horizontal="centerContinuous"/>
    </xf>
    <xf numFmtId="166" fontId="4" fillId="4" borderId="5" xfId="0" applyNumberFormat="1" applyFont="1" applyFill="1" applyBorder="1" applyAlignment="1">
      <alignment horizontal="left"/>
    </xf>
    <xf numFmtId="165" fontId="4" fillId="4" borderId="8" xfId="0" applyNumberFormat="1" applyFont="1" applyFill="1" applyBorder="1" applyAlignment="1">
      <alignment horizontal="right"/>
    </xf>
    <xf numFmtId="165" fontId="4" fillId="4" borderId="6" xfId="0" applyNumberFormat="1" applyFont="1" applyFill="1" applyBorder="1" applyAlignment="1">
      <alignment horizontal="right"/>
    </xf>
    <xf numFmtId="1" fontId="5" fillId="0" borderId="0" xfId="0" applyNumberFormat="1" applyFont="1" applyAlignment="1">
      <alignment horizontal="centerContinuous"/>
    </xf>
    <xf numFmtId="1" fontId="5" fillId="0" borderId="2" xfId="0" applyNumberFormat="1" applyFont="1" applyBorder="1" applyAlignment="1">
      <alignment horizontal="centerContinuous"/>
    </xf>
    <xf numFmtId="0" fontId="1" fillId="0" borderId="0" xfId="0" applyFont="1" applyAlignment="1">
      <alignment horizontal="right"/>
    </xf>
    <xf numFmtId="167" fontId="5" fillId="0" borderId="0" xfId="0" applyNumberFormat="1" applyFont="1" applyAlignment="1">
      <alignment horizontal="centerContinuous"/>
    </xf>
    <xf numFmtId="167" fontId="6" fillId="0" borderId="2" xfId="0" applyNumberFormat="1" applyFont="1" applyBorder="1" applyAlignment="1">
      <alignment horizontal="centerContinuous"/>
    </xf>
    <xf numFmtId="10" fontId="1" fillId="0" borderId="4" xfId="0" applyNumberFormat="1" applyFont="1" applyBorder="1" applyAlignment="1">
      <alignment horizontal="right"/>
    </xf>
    <xf numFmtId="10" fontId="1" fillId="0" borderId="3" xfId="0" applyNumberFormat="1" applyFont="1" applyBorder="1" applyAlignment="1">
      <alignment horizontal="right"/>
    </xf>
    <xf numFmtId="3" fontId="5" fillId="0" borderId="0" xfId="0" applyNumberFormat="1" applyFont="1" applyAlignment="1">
      <alignment horizontal="centerContinuous"/>
    </xf>
    <xf numFmtId="3" fontId="6" fillId="0" borderId="2" xfId="0" applyNumberFormat="1" applyFont="1" applyBorder="1" applyAlignment="1">
      <alignment horizontal="centerContinuous"/>
    </xf>
    <xf numFmtId="0" fontId="1" fillId="0" borderId="2" xfId="0" applyFont="1" applyBorder="1" applyAlignment="1">
      <alignment horizontal="right"/>
    </xf>
    <xf numFmtId="0" fontId="1" fillId="0" borderId="5" xfId="0" applyFont="1" applyBorder="1"/>
    <xf numFmtId="10" fontId="7" fillId="0" borderId="8" xfId="0" applyNumberFormat="1" applyFont="1" applyBorder="1" applyAlignment="1">
      <alignment horizontal="centerContinuous"/>
    </xf>
    <xf numFmtId="10" fontId="6" fillId="0" borderId="6" xfId="0" applyNumberFormat="1" applyFont="1" applyBorder="1" applyAlignment="1">
      <alignment horizontal="centerContinuous"/>
    </xf>
    <xf numFmtId="168" fontId="1" fillId="0" borderId="0" xfId="0" applyNumberFormat="1" applyFont="1" applyAlignment="1">
      <alignment horizontal="right"/>
    </xf>
    <xf numFmtId="168" fontId="1" fillId="0" borderId="2" xfId="0" applyNumberFormat="1" applyFont="1" applyBorder="1" applyAlignment="1">
      <alignment horizontal="right"/>
    </xf>
    <xf numFmtId="0" fontId="2" fillId="2" borderId="9" xfId="0" applyFont="1" applyFill="1" applyBorder="1" applyAlignment="1">
      <alignment horizontal="centerContinuous"/>
    </xf>
    <xf numFmtId="0" fontId="3" fillId="2" borderId="10" xfId="0" applyFont="1" applyFill="1" applyBorder="1" applyAlignment="1">
      <alignment horizontal="centerContinuous"/>
    </xf>
    <xf numFmtId="0" fontId="3" fillId="2" borderId="11" xfId="0" applyFont="1" applyFill="1" applyBorder="1" applyAlignment="1">
      <alignment horizontal="centerContinuous"/>
    </xf>
    <xf numFmtId="169" fontId="1" fillId="0" borderId="8" xfId="0" applyNumberFormat="1" applyFont="1" applyBorder="1" applyAlignment="1">
      <alignment horizontal="right"/>
    </xf>
    <xf numFmtId="169" fontId="1" fillId="0" borderId="6" xfId="0" applyNumberFormat="1" applyFont="1" applyBorder="1" applyAlignment="1">
      <alignment horizontal="right"/>
    </xf>
    <xf numFmtId="170" fontId="5" fillId="0" borderId="0" xfId="0" applyNumberFormat="1" applyFont="1" applyAlignment="1">
      <alignment horizontal="right"/>
    </xf>
    <xf numFmtId="171" fontId="7" fillId="0" borderId="2" xfId="0" applyNumberFormat="1" applyFont="1" applyBorder="1"/>
    <xf numFmtId="0" fontId="4" fillId="4" borderId="9" xfId="0" applyFont="1" applyFill="1" applyBorder="1"/>
    <xf numFmtId="37" fontId="4" fillId="4" borderId="10" xfId="0" applyNumberFormat="1" applyFont="1" applyFill="1" applyBorder="1" applyAlignment="1">
      <alignment horizontal="right"/>
    </xf>
    <xf numFmtId="37" fontId="4" fillId="4" borderId="11" xfId="0" applyNumberFormat="1" applyFont="1" applyFill="1" applyBorder="1" applyAlignment="1">
      <alignment horizontal="right"/>
    </xf>
    <xf numFmtId="172" fontId="5" fillId="0" borderId="7" xfId="0" applyNumberFormat="1" applyFont="1" applyBorder="1" applyAlignment="1">
      <alignment horizontal="left"/>
    </xf>
    <xf numFmtId="170" fontId="1" fillId="0" borderId="0" xfId="0" applyNumberFormat="1" applyFont="1" applyAlignment="1">
      <alignment horizontal="right"/>
    </xf>
    <xf numFmtId="173" fontId="5" fillId="0" borderId="7" xfId="0" applyNumberFormat="1" applyFont="1" applyBorder="1" applyAlignment="1">
      <alignment horizontal="left"/>
    </xf>
    <xf numFmtId="37" fontId="1" fillId="0" borderId="0" xfId="0" applyNumberFormat="1" applyFont="1" applyAlignment="1">
      <alignment horizontal="right"/>
    </xf>
    <xf numFmtId="37" fontId="1" fillId="0" borderId="2" xfId="0" applyNumberFormat="1" applyFont="1" applyBorder="1" applyAlignment="1">
      <alignment horizontal="right"/>
    </xf>
    <xf numFmtId="0" fontId="4" fillId="0" borderId="9" xfId="0" applyFont="1" applyBorder="1"/>
    <xf numFmtId="170" fontId="4" fillId="0" borderId="10" xfId="0" applyNumberFormat="1" applyFont="1" applyBorder="1"/>
    <xf numFmtId="171" fontId="8" fillId="0" borderId="11" xfId="0" applyNumberFormat="1" applyFont="1" applyBorder="1"/>
    <xf numFmtId="37" fontId="4" fillId="3" borderId="10" xfId="0" applyNumberFormat="1" applyFont="1" applyFill="1" applyBorder="1" applyAlignment="1">
      <alignment horizontal="right"/>
    </xf>
    <xf numFmtId="174" fontId="1" fillId="0" borderId="0" xfId="0" applyNumberFormat="1" applyFont="1"/>
    <xf numFmtId="10" fontId="5" fillId="0" borderId="2" xfId="0" applyNumberFormat="1" applyFont="1" applyBorder="1" applyAlignment="1">
      <alignment horizontal="right"/>
    </xf>
    <xf numFmtId="10" fontId="6" fillId="0" borderId="0" xfId="0" applyNumberFormat="1" applyFont="1"/>
    <xf numFmtId="175" fontId="5" fillId="0" borderId="2" xfId="0" applyNumberFormat="1" applyFont="1" applyBorder="1" applyAlignment="1">
      <alignment horizontal="right"/>
    </xf>
    <xf numFmtId="1" fontId="5" fillId="0" borderId="8" xfId="0" applyNumberFormat="1" applyFont="1" applyBorder="1"/>
    <xf numFmtId="174" fontId="5" fillId="0" borderId="6" xfId="0" applyNumberFormat="1" applyFont="1" applyBorder="1" applyAlignment="1">
      <alignment horizontal="right"/>
    </xf>
    <xf numFmtId="10" fontId="1" fillId="0" borderId="0" xfId="0" applyNumberFormat="1" applyFont="1" applyAlignment="1">
      <alignment horizontal="right"/>
    </xf>
    <xf numFmtId="10" fontId="1" fillId="0" borderId="2" xfId="0" applyNumberFormat="1" applyFont="1" applyBorder="1" applyAlignment="1">
      <alignment horizontal="right"/>
    </xf>
    <xf numFmtId="176" fontId="1" fillId="0" borderId="0" xfId="0" applyNumberFormat="1" applyFont="1" applyAlignment="1">
      <alignment horizontal="right"/>
    </xf>
    <xf numFmtId="176" fontId="1" fillId="0" borderId="2" xfId="0" applyNumberFormat="1" applyFont="1" applyBorder="1" applyAlignment="1">
      <alignment horizontal="right"/>
    </xf>
    <xf numFmtId="175" fontId="7" fillId="0" borderId="1" xfId="0" applyNumberFormat="1" applyFont="1" applyBorder="1" applyAlignment="1">
      <alignment horizontal="left"/>
    </xf>
    <xf numFmtId="177" fontId="5" fillId="0" borderId="4" xfId="0" applyNumberFormat="1" applyFont="1" applyBorder="1" applyAlignment="1">
      <alignment horizontal="right"/>
    </xf>
    <xf numFmtId="178" fontId="7" fillId="0" borderId="3" xfId="0" applyNumberFormat="1" applyFont="1" applyBorder="1" applyAlignment="1">
      <alignment horizontal="right"/>
    </xf>
    <xf numFmtId="10" fontId="1" fillId="0" borderId="8" xfId="0" applyNumberFormat="1" applyFont="1" applyBorder="1" applyAlignment="1">
      <alignment horizontal="right"/>
    </xf>
    <xf numFmtId="10" fontId="1" fillId="0" borderId="6" xfId="0" applyNumberFormat="1" applyFont="1" applyBorder="1" applyAlignment="1">
      <alignment horizontal="right"/>
    </xf>
    <xf numFmtId="175" fontId="7" fillId="0" borderId="7" xfId="0" applyNumberFormat="1" applyFont="1" applyBorder="1"/>
    <xf numFmtId="10" fontId="5" fillId="0" borderId="0" xfId="0" applyNumberFormat="1" applyFont="1"/>
    <xf numFmtId="0" fontId="7" fillId="0" borderId="2" xfId="0" applyFont="1" applyBorder="1"/>
    <xf numFmtId="174" fontId="7" fillId="0" borderId="7" xfId="0" applyNumberFormat="1" applyFont="1" applyBorder="1"/>
    <xf numFmtId="179" fontId="7" fillId="0" borderId="0" xfId="0" applyNumberFormat="1" applyFont="1"/>
    <xf numFmtId="0" fontId="3" fillId="2" borderId="3" xfId="0" applyFont="1" applyFill="1" applyBorder="1" applyAlignment="1">
      <alignment horizontal="centerContinuous"/>
    </xf>
    <xf numFmtId="0" fontId="9" fillId="5" borderId="1" xfId="0" applyFont="1" applyFill="1" applyBorder="1" applyAlignment="1">
      <alignment horizontal="centerContinuous"/>
    </xf>
    <xf numFmtId="0" fontId="10" fillId="5" borderId="4" xfId="0" applyFont="1" applyFill="1" applyBorder="1" applyAlignment="1">
      <alignment horizontal="centerContinuous"/>
    </xf>
    <xf numFmtId="0" fontId="10" fillId="5" borderId="3" xfId="0" applyFont="1" applyFill="1" applyBorder="1" applyAlignment="1">
      <alignment horizontal="centerContinuous"/>
    </xf>
    <xf numFmtId="0" fontId="11" fillId="0" borderId="0" xfId="0" applyFont="1"/>
    <xf numFmtId="174" fontId="7" fillId="0" borderId="1" xfId="0" applyNumberFormat="1" applyFont="1" applyBorder="1"/>
    <xf numFmtId="179" fontId="7" fillId="0" borderId="4" xfId="0" applyNumberFormat="1" applyFont="1" applyBorder="1"/>
    <xf numFmtId="171" fontId="7" fillId="0" borderId="3" xfId="0" applyNumberFormat="1" applyFont="1" applyBorder="1"/>
    <xf numFmtId="10" fontId="1" fillId="0" borderId="2" xfId="0" applyNumberFormat="1" applyFont="1" applyBorder="1"/>
    <xf numFmtId="0" fontId="12" fillId="3" borderId="7" xfId="0" applyFont="1" applyFill="1" applyBorder="1"/>
    <xf numFmtId="10" fontId="4" fillId="3" borderId="0" xfId="0" applyNumberFormat="1" applyFont="1" applyFill="1" applyAlignment="1">
      <alignment horizontal="center"/>
    </xf>
    <xf numFmtId="10" fontId="13" fillId="3" borderId="0" xfId="0" applyNumberFormat="1" applyFont="1" applyFill="1" applyAlignment="1">
      <alignment horizontal="center"/>
    </xf>
    <xf numFmtId="10" fontId="4" fillId="3" borderId="2" xfId="0" applyNumberFormat="1" applyFont="1" applyFill="1" applyBorder="1" applyAlignment="1">
      <alignment horizontal="center"/>
    </xf>
    <xf numFmtId="180" fontId="5" fillId="0" borderId="0" xfId="0" applyNumberFormat="1" applyFont="1"/>
    <xf numFmtId="0" fontId="1" fillId="0" borderId="12" xfId="0" applyFont="1" applyBorder="1"/>
    <xf numFmtId="176" fontId="1" fillId="0" borderId="13" xfId="0" applyNumberFormat="1" applyFont="1" applyBorder="1"/>
    <xf numFmtId="177" fontId="8" fillId="3" borderId="14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4" fontId="4" fillId="3" borderId="14" xfId="0" applyNumberFormat="1" applyFont="1" applyFill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174" fontId="5" fillId="0" borderId="0" xfId="0" applyNumberFormat="1" applyFont="1"/>
    <xf numFmtId="176" fontId="1" fillId="0" borderId="6" xfId="0" applyNumberFormat="1" applyFont="1" applyBorder="1"/>
    <xf numFmtId="4" fontId="1" fillId="0" borderId="0" xfId="0" applyNumberFormat="1" applyFont="1" applyAlignment="1">
      <alignment horizontal="center"/>
    </xf>
    <xf numFmtId="181" fontId="5" fillId="0" borderId="5" xfId="0" applyNumberFormat="1" applyFont="1" applyBorder="1" applyAlignment="1">
      <alignment horizontal="left"/>
    </xf>
    <xf numFmtId="179" fontId="7" fillId="0" borderId="8" xfId="0" applyNumberFormat="1" applyFont="1" applyBorder="1"/>
    <xf numFmtId="171" fontId="7" fillId="0" borderId="6" xfId="0" applyNumberFormat="1" applyFont="1" applyBorder="1"/>
    <xf numFmtId="175" fontId="7" fillId="0" borderId="5" xfId="0" applyNumberFormat="1" applyFont="1" applyBorder="1"/>
    <xf numFmtId="0" fontId="2" fillId="2" borderId="11" xfId="0" applyFont="1" applyFill="1" applyBorder="1" applyAlignment="1">
      <alignment horizontal="centerContinuous"/>
    </xf>
    <xf numFmtId="0" fontId="4" fillId="0" borderId="15" xfId="0" applyFont="1" applyBorder="1" applyAlignment="1">
      <alignment horizontal="center"/>
    </xf>
    <xf numFmtId="174" fontId="13" fillId="3" borderId="14" xfId="0" applyNumberFormat="1" applyFont="1" applyFill="1" applyBorder="1" applyAlignment="1">
      <alignment horizontal="center"/>
    </xf>
    <xf numFmtId="175" fontId="7" fillId="0" borderId="0" xfId="0" applyNumberFormat="1" applyFont="1"/>
    <xf numFmtId="171" fontId="7" fillId="0" borderId="0" xfId="0" applyNumberFormat="1" applyFont="1"/>
    <xf numFmtId="10" fontId="1" fillId="0" borderId="6" xfId="0" applyNumberFormat="1" applyFont="1" applyBorder="1"/>
    <xf numFmtId="10" fontId="5" fillId="0" borderId="3" xfId="0" applyNumberFormat="1" applyFont="1" applyBorder="1"/>
    <xf numFmtId="175" fontId="7" fillId="0" borderId="7" xfId="0" applyNumberFormat="1" applyFont="1" applyBorder="1" applyAlignment="1">
      <alignment horizontal="left"/>
    </xf>
    <xf numFmtId="9" fontId="5" fillId="0" borderId="2" xfId="0" applyNumberFormat="1" applyFont="1" applyBorder="1"/>
    <xf numFmtId="0" fontId="0" fillId="0" borderId="4" xfId="0" applyBorder="1"/>
    <xf numFmtId="177" fontId="8" fillId="3" borderId="16" xfId="0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74" fontId="4" fillId="3" borderId="16" xfId="0" applyNumberFormat="1" applyFont="1" applyFill="1" applyBorder="1" applyAlignment="1">
      <alignment horizontal="center"/>
    </xf>
    <xf numFmtId="182" fontId="5" fillId="0" borderId="2" xfId="0" applyNumberFormat="1" applyFont="1" applyBorder="1" applyAlignment="1">
      <alignment horizontal="right"/>
    </xf>
    <xf numFmtId="0" fontId="1" fillId="0" borderId="4" xfId="0" applyFont="1" applyBorder="1"/>
    <xf numFmtId="174" fontId="14" fillId="0" borderId="1" xfId="0" applyNumberFormat="1" applyFont="1" applyBorder="1"/>
    <xf numFmtId="0" fontId="0" fillId="0" borderId="3" xfId="0" applyBorder="1"/>
    <xf numFmtId="10" fontId="5" fillId="0" borderId="2" xfId="0" applyNumberFormat="1" applyFont="1" applyBorder="1"/>
    <xf numFmtId="0" fontId="15" fillId="0" borderId="0" xfId="0" applyFont="1"/>
    <xf numFmtId="0" fontId="1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74" fontId="7" fillId="0" borderId="5" xfId="0" applyNumberFormat="1" applyFont="1" applyBorder="1"/>
    <xf numFmtId="0" fontId="1" fillId="0" borderId="8" xfId="0" applyFont="1" applyBorder="1"/>
    <xf numFmtId="10" fontId="5" fillId="0" borderId="6" xfId="0" applyNumberFormat="1" applyFont="1" applyBorder="1"/>
    <xf numFmtId="0" fontId="1" fillId="0" borderId="9" xfId="0" applyFont="1" applyBorder="1"/>
    <xf numFmtId="10" fontId="5" fillId="0" borderId="11" xfId="0" applyNumberFormat="1" applyFont="1" applyBorder="1"/>
    <xf numFmtId="183" fontId="17" fillId="6" borderId="0" xfId="0" applyNumberFormat="1" applyFont="1" applyFill="1"/>
    <xf numFmtId="184" fontId="17" fillId="6" borderId="0" xfId="0" applyNumberFormat="1" applyFont="1" applyFill="1"/>
    <xf numFmtId="0" fontId="7" fillId="0" borderId="0" xfId="0" applyFont="1"/>
    <xf numFmtId="175" fontId="7" fillId="0" borderId="1" xfId="0" applyNumberFormat="1" applyFont="1" applyBorder="1"/>
    <xf numFmtId="3" fontId="7" fillId="0" borderId="4" xfId="0" applyNumberFormat="1" applyFont="1" applyBorder="1"/>
    <xf numFmtId="175" fontId="7" fillId="0" borderId="3" xfId="0" applyNumberFormat="1" applyFont="1" applyBorder="1"/>
    <xf numFmtId="0" fontId="4" fillId="0" borderId="1" xfId="0" applyFont="1" applyBorder="1"/>
    <xf numFmtId="170" fontId="18" fillId="0" borderId="3" xfId="0" applyNumberFormat="1" applyFont="1" applyBorder="1"/>
    <xf numFmtId="0" fontId="8" fillId="0" borderId="1" xfId="0" applyFont="1" applyBorder="1"/>
    <xf numFmtId="37" fontId="7" fillId="0" borderId="4" xfId="0" applyNumberFormat="1" applyFont="1" applyBorder="1"/>
    <xf numFmtId="37" fontId="7" fillId="0" borderId="3" xfId="0" applyNumberFormat="1" applyFont="1" applyBorder="1"/>
    <xf numFmtId="3" fontId="7" fillId="0" borderId="0" xfId="0" applyNumberFormat="1" applyFont="1"/>
    <xf numFmtId="185" fontId="7" fillId="0" borderId="2" xfId="0" applyNumberFormat="1" applyFont="1" applyBorder="1"/>
    <xf numFmtId="0" fontId="4" fillId="0" borderId="5" xfId="0" applyFont="1" applyBorder="1" applyAlignment="1">
      <alignment horizontal="left"/>
    </xf>
    <xf numFmtId="170" fontId="5" fillId="0" borderId="6" xfId="0" applyNumberFormat="1" applyFont="1" applyBorder="1"/>
    <xf numFmtId="37" fontId="7" fillId="0" borderId="0" xfId="0" applyNumberFormat="1" applyFont="1"/>
    <xf numFmtId="37" fontId="7" fillId="0" borderId="2" xfId="0" applyNumberFormat="1" applyFont="1" applyBorder="1"/>
    <xf numFmtId="0" fontId="7" fillId="0" borderId="5" xfId="0" applyFont="1" applyBorder="1"/>
    <xf numFmtId="37" fontId="7" fillId="0" borderId="8" xfId="0" applyNumberFormat="1" applyFont="1" applyBorder="1"/>
    <xf numFmtId="37" fontId="7" fillId="0" borderId="6" xfId="0" applyNumberFormat="1" applyFont="1" applyBorder="1"/>
    <xf numFmtId="0" fontId="1" fillId="0" borderId="3" xfId="0" applyFont="1" applyBorder="1"/>
    <xf numFmtId="186" fontId="7" fillId="0" borderId="0" xfId="0" applyNumberFormat="1" applyFont="1"/>
    <xf numFmtId="186" fontId="7" fillId="0" borderId="7" xfId="0" applyNumberFormat="1" applyFont="1" applyBorder="1"/>
    <xf numFmtId="186" fontId="7" fillId="0" borderId="2" xfId="0" applyNumberFormat="1" applyFont="1" applyBorder="1"/>
    <xf numFmtId="0" fontId="1" fillId="0" borderId="5" xfId="0" applyFont="1" applyBorder="1" applyAlignment="1">
      <alignment horizontal="left"/>
    </xf>
    <xf numFmtId="37" fontId="1" fillId="0" borderId="6" xfId="0" applyNumberFormat="1" applyFont="1" applyBorder="1"/>
    <xf numFmtId="0" fontId="1" fillId="0" borderId="2" xfId="0" applyFont="1" applyBorder="1"/>
    <xf numFmtId="3" fontId="7" fillId="0" borderId="8" xfId="0" applyNumberFormat="1" applyFont="1" applyBorder="1"/>
    <xf numFmtId="0" fontId="8" fillId="0" borderId="9" xfId="0" applyFont="1" applyBorder="1"/>
    <xf numFmtId="37" fontId="7" fillId="0" borderId="10" xfId="0" applyNumberFormat="1" applyFont="1" applyBorder="1"/>
    <xf numFmtId="37" fontId="7" fillId="0" borderId="11" xfId="0" applyNumberFormat="1" applyFont="1" applyBorder="1"/>
    <xf numFmtId="37" fontId="1" fillId="0" borderId="0" xfId="0" applyNumberFormat="1" applyFont="1"/>
    <xf numFmtId="183" fontId="17" fillId="6" borderId="0" xfId="0" applyNumberFormat="1" applyFont="1" applyFill="1" applyAlignment="1">
      <alignment horizontal="right"/>
    </xf>
    <xf numFmtId="174" fontId="7" fillId="0" borderId="4" xfId="0" applyNumberFormat="1" applyFont="1" applyBorder="1"/>
    <xf numFmtId="0" fontId="7" fillId="0" borderId="4" xfId="0" applyFont="1" applyBorder="1"/>
    <xf numFmtId="175" fontId="7" fillId="0" borderId="4" xfId="0" applyNumberFormat="1" applyFont="1" applyBorder="1"/>
    <xf numFmtId="0" fontId="7" fillId="0" borderId="3" xfId="0" applyFont="1" applyBorder="1"/>
    <xf numFmtId="0" fontId="7" fillId="0" borderId="7" xfId="0" applyFont="1" applyBorder="1"/>
    <xf numFmtId="0" fontId="7" fillId="0" borderId="1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37" fontId="8" fillId="0" borderId="8" xfId="0" applyNumberFormat="1" applyFont="1" applyBorder="1"/>
    <xf numFmtId="37" fontId="8" fillId="0" borderId="6" xfId="0" applyNumberFormat="1" applyFont="1" applyBorder="1"/>
    <xf numFmtId="0" fontId="7" fillId="0" borderId="9" xfId="0" applyFont="1" applyBorder="1" applyAlignment="1">
      <alignment horizontal="left"/>
    </xf>
    <xf numFmtId="174" fontId="7" fillId="0" borderId="10" xfId="0" applyNumberFormat="1" applyFont="1" applyBorder="1"/>
    <xf numFmtId="0" fontId="7" fillId="0" borderId="7" xfId="0" applyFont="1" applyBorder="1" applyAlignment="1">
      <alignment horizontal="left"/>
    </xf>
    <xf numFmtId="174" fontId="8" fillId="0" borderId="0" xfId="0" applyNumberFormat="1" applyFont="1"/>
    <xf numFmtId="175" fontId="19" fillId="0" borderId="3" xfId="0" applyNumberFormat="1" applyFont="1" applyBorder="1" applyAlignment="1">
      <alignment horizontal="center"/>
    </xf>
    <xf numFmtId="175" fontId="19" fillId="0" borderId="0" xfId="0" applyNumberFormat="1" applyFont="1" applyAlignment="1">
      <alignment horizontal="center"/>
    </xf>
    <xf numFmtId="174" fontId="7" fillId="0" borderId="2" xfId="0" applyNumberFormat="1" applyFont="1" applyBorder="1"/>
    <xf numFmtId="174" fontId="7" fillId="0" borderId="0" xfId="0" applyNumberFormat="1" applyFont="1"/>
    <xf numFmtId="174" fontId="7" fillId="0" borderId="6" xfId="0" applyNumberFormat="1" applyFont="1" applyBorder="1"/>
    <xf numFmtId="0" fontId="11" fillId="0" borderId="1" xfId="0" applyFont="1" applyBorder="1"/>
    <xf numFmtId="184" fontId="17" fillId="6" borderId="4" xfId="0" applyNumberFormat="1" applyFont="1" applyFill="1" applyBorder="1"/>
    <xf numFmtId="184" fontId="17" fillId="6" borderId="3" xfId="0" applyNumberFormat="1" applyFont="1" applyFill="1" applyBorder="1"/>
    <xf numFmtId="37" fontId="5" fillId="6" borderId="0" xfId="0" applyNumberFormat="1" applyFont="1" applyFill="1"/>
    <xf numFmtId="37" fontId="1" fillId="0" borderId="2" xfId="0" applyNumberFormat="1" applyFont="1" applyBorder="1"/>
    <xf numFmtId="37" fontId="5" fillId="0" borderId="0" xfId="0" applyNumberFormat="1" applyFont="1"/>
    <xf numFmtId="170" fontId="1" fillId="0" borderId="0" xfId="0" applyNumberFormat="1" applyFont="1"/>
    <xf numFmtId="37" fontId="1" fillId="0" borderId="8" xfId="0" applyNumberFormat="1" applyFont="1" applyBorder="1"/>
    <xf numFmtId="0" fontId="8" fillId="0" borderId="9" xfId="0" applyFont="1" applyBorder="1" applyAlignment="1">
      <alignment horizontal="centerContinuous"/>
    </xf>
    <xf numFmtId="0" fontId="3" fillId="0" borderId="10" xfId="0" applyFont="1" applyBorder="1" applyAlignment="1">
      <alignment horizontal="centerContinuous"/>
    </xf>
    <xf numFmtId="0" fontId="3" fillId="0" borderId="11" xfId="0" applyFont="1" applyBorder="1" applyAlignment="1">
      <alignment horizontal="centerContinuous"/>
    </xf>
    <xf numFmtId="37" fontId="5" fillId="0" borderId="1" xfId="0" applyNumberFormat="1" applyFont="1" applyBorder="1"/>
    <xf numFmtId="37" fontId="13" fillId="0" borderId="4" xfId="0" applyNumberFormat="1" applyFont="1" applyBorder="1" applyAlignment="1">
      <alignment horizontal="right"/>
    </xf>
    <xf numFmtId="37" fontId="13" fillId="0" borderId="3" xfId="0" applyNumberFormat="1" applyFont="1" applyBorder="1" applyAlignment="1">
      <alignment horizontal="right"/>
    </xf>
    <xf numFmtId="37" fontId="13" fillId="0" borderId="7" xfId="0" applyNumberFormat="1" applyFont="1" applyBorder="1"/>
    <xf numFmtId="37" fontId="13" fillId="0" borderId="0" xfId="0" applyNumberFormat="1" applyFont="1" applyAlignment="1">
      <alignment horizontal="right"/>
    </xf>
    <xf numFmtId="37" fontId="13" fillId="0" borderId="2" xfId="0" applyNumberFormat="1" applyFont="1" applyBorder="1" applyAlignment="1">
      <alignment horizontal="right"/>
    </xf>
    <xf numFmtId="37" fontId="13" fillId="0" borderId="5" xfId="0" applyNumberFormat="1" applyFont="1" applyBorder="1"/>
    <xf numFmtId="165" fontId="13" fillId="0" borderId="8" xfId="0" applyNumberFormat="1" applyFont="1" applyBorder="1" applyAlignment="1">
      <alignment horizontal="right"/>
    </xf>
    <xf numFmtId="165" fontId="13" fillId="0" borderId="6" xfId="0" applyNumberFormat="1" applyFont="1" applyBorder="1" applyAlignment="1">
      <alignment horizontal="right"/>
    </xf>
    <xf numFmtId="17" fontId="1" fillId="0" borderId="0" xfId="0" applyNumberFormat="1" applyFont="1"/>
    <xf numFmtId="37" fontId="5" fillId="0" borderId="7" xfId="0" applyNumberFormat="1" applyFont="1" applyBorder="1"/>
    <xf numFmtId="37" fontId="5" fillId="0" borderId="2" xfId="0" applyNumberFormat="1" applyFont="1" applyBorder="1"/>
    <xf numFmtId="37" fontId="5" fillId="0" borderId="7" xfId="0" applyNumberFormat="1" applyFont="1" applyBorder="1" applyAlignment="1">
      <alignment horizontal="left"/>
    </xf>
    <xf numFmtId="10" fontId="5" fillId="0" borderId="7" xfId="0" applyNumberFormat="1" applyFont="1" applyBorder="1"/>
    <xf numFmtId="10" fontId="5" fillId="0" borderId="5" xfId="0" applyNumberFormat="1" applyFont="1" applyBorder="1"/>
    <xf numFmtId="10" fontId="5" fillId="0" borderId="8" xfId="0" applyNumberFormat="1" applyFont="1" applyBorder="1"/>
    <xf numFmtId="37" fontId="17" fillId="6" borderId="9" xfId="0" applyNumberFormat="1" applyFont="1" applyFill="1" applyBorder="1"/>
    <xf numFmtId="184" fontId="17" fillId="6" borderId="10" xfId="0" applyNumberFormat="1" applyFont="1" applyFill="1" applyBorder="1"/>
    <xf numFmtId="37" fontId="7" fillId="6" borderId="1" xfId="0" applyNumberFormat="1" applyFont="1" applyFill="1" applyBorder="1"/>
    <xf numFmtId="37" fontId="7" fillId="6" borderId="4" xfId="0" applyNumberFormat="1" applyFont="1" applyFill="1" applyBorder="1"/>
    <xf numFmtId="37" fontId="7" fillId="6" borderId="7" xfId="0" applyNumberFormat="1" applyFont="1" applyFill="1" applyBorder="1"/>
    <xf numFmtId="37" fontId="18" fillId="7" borderId="0" xfId="0" applyNumberFormat="1" applyFont="1" applyFill="1"/>
    <xf numFmtId="37" fontId="7" fillId="6" borderId="5" xfId="0" applyNumberFormat="1" applyFont="1" applyFill="1" applyBorder="1"/>
    <xf numFmtId="37" fontId="7" fillId="6" borderId="8" xfId="0" applyNumberFormat="1" applyFont="1" applyFill="1" applyBorder="1"/>
    <xf numFmtId="37" fontId="8" fillId="6" borderId="7" xfId="0" applyNumberFormat="1" applyFont="1" applyFill="1" applyBorder="1"/>
    <xf numFmtId="37" fontId="17" fillId="6" borderId="0" xfId="0" applyNumberFormat="1" applyFont="1" applyFill="1"/>
    <xf numFmtId="37" fontId="7" fillId="6" borderId="0" xfId="0" applyNumberFormat="1" applyFont="1" applyFill="1"/>
    <xf numFmtId="37" fontId="6" fillId="6" borderId="0" xfId="0" applyNumberFormat="1" applyFont="1" applyFill="1"/>
    <xf numFmtId="37" fontId="5" fillId="6" borderId="7" xfId="0" applyNumberFormat="1" applyFont="1" applyFill="1" applyBorder="1"/>
    <xf numFmtId="37" fontId="18" fillId="6" borderId="7" xfId="0" applyNumberFormat="1" applyFont="1" applyFill="1" applyBorder="1"/>
    <xf numFmtId="10" fontId="20" fillId="6" borderId="0" xfId="0" applyNumberFormat="1" applyFont="1" applyFill="1"/>
    <xf numFmtId="39" fontId="5" fillId="6" borderId="0" xfId="0" applyNumberFormat="1" applyFont="1" applyFill="1"/>
    <xf numFmtId="10" fontId="7" fillId="6" borderId="0" xfId="0" applyNumberFormat="1" applyFont="1" applyFill="1"/>
    <xf numFmtId="39" fontId="5" fillId="6" borderId="8" xfId="0" applyNumberFormat="1" applyFont="1" applyFill="1" applyBorder="1"/>
    <xf numFmtId="174" fontId="1" fillId="0" borderId="2" xfId="0" applyNumberFormat="1" applyFont="1" applyBorder="1"/>
    <xf numFmtId="0" fontId="11" fillId="0" borderId="7" xfId="0" applyFont="1" applyBorder="1"/>
    <xf numFmtId="176" fontId="1" fillId="0" borderId="0" xfId="0" applyNumberFormat="1" applyFont="1"/>
    <xf numFmtId="176" fontId="1" fillId="0" borderId="2" xfId="0" applyNumberFormat="1" applyFont="1" applyBorder="1"/>
    <xf numFmtId="10" fontId="1" fillId="0" borderId="8" xfId="0" applyNumberFormat="1" applyFont="1" applyBorder="1"/>
    <xf numFmtId="0" fontId="1" fillId="0" borderId="10" xfId="0" applyFont="1" applyBorder="1"/>
    <xf numFmtId="187" fontId="1" fillId="0" borderId="11" xfId="0" applyNumberFormat="1" applyFont="1" applyBorder="1" applyAlignment="1">
      <alignment horizontal="center"/>
    </xf>
    <xf numFmtId="10" fontId="1" fillId="0" borderId="11" xfId="0" applyNumberFormat="1" applyFont="1" applyBorder="1" applyAlignment="1">
      <alignment horizontal="center"/>
    </xf>
    <xf numFmtId="0" fontId="21" fillId="0" borderId="0" xfId="0" applyFont="1"/>
    <xf numFmtId="188" fontId="1" fillId="0" borderId="0" xfId="0" applyNumberFormat="1" applyFont="1" applyAlignment="1">
      <alignment horizontal="center"/>
    </xf>
    <xf numFmtId="0" fontId="22" fillId="0" borderId="8" xfId="0" applyFont="1" applyBorder="1"/>
    <xf numFmtId="0" fontId="22" fillId="0" borderId="0" xfId="0" applyFont="1"/>
    <xf numFmtId="14" fontId="23" fillId="0" borderId="0" xfId="0" applyNumberFormat="1" applyFont="1" applyAlignment="1">
      <alignment horizontal="center"/>
    </xf>
    <xf numFmtId="14" fontId="23" fillId="8" borderId="0" xfId="0" applyNumberFormat="1" applyFont="1" applyFill="1" applyAlignment="1">
      <alignment horizontal="center"/>
    </xf>
    <xf numFmtId="14" fontId="24" fillId="8" borderId="0" xfId="0" applyNumberFormat="1" applyFont="1" applyFill="1" applyAlignment="1">
      <alignment horizontal="center"/>
    </xf>
    <xf numFmtId="14" fontId="24" fillId="0" borderId="0" xfId="0" applyNumberFormat="1" applyFont="1" applyAlignment="1">
      <alignment horizontal="center"/>
    </xf>
    <xf numFmtId="14" fontId="25" fillId="0" borderId="0" xfId="0" applyNumberFormat="1" applyFont="1" applyAlignment="1">
      <alignment horizontal="center"/>
    </xf>
    <xf numFmtId="10" fontId="23" fillId="0" borderId="0" xfId="0" applyNumberFormat="1" applyFont="1" applyAlignment="1">
      <alignment horizontal="center"/>
    </xf>
    <xf numFmtId="10" fontId="23" fillId="8" borderId="0" xfId="0" applyNumberFormat="1" applyFont="1" applyFill="1" applyAlignment="1">
      <alignment horizontal="center"/>
    </xf>
    <xf numFmtId="10" fontId="24" fillId="8" borderId="0" xfId="0" applyNumberFormat="1" applyFont="1" applyFill="1" applyAlignment="1">
      <alignment horizontal="center"/>
    </xf>
    <xf numFmtId="10" fontId="24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10" fontId="6" fillId="0" borderId="8" xfId="0" applyNumberFormat="1" applyFont="1" applyBorder="1" applyAlignment="1">
      <alignment horizontal="center"/>
    </xf>
    <xf numFmtId="180" fontId="1" fillId="0" borderId="8" xfId="0" applyNumberFormat="1" applyFont="1" applyBorder="1" applyAlignment="1">
      <alignment horizontal="center"/>
    </xf>
    <xf numFmtId="14" fontId="22" fillId="0" borderId="0" xfId="0" applyNumberFormat="1" applyFont="1" applyAlignment="1">
      <alignment horizontal="right"/>
    </xf>
    <xf numFmtId="0" fontId="21" fillId="0" borderId="8" xfId="0" applyFont="1" applyBorder="1" applyAlignment="1">
      <alignment horizontal="right"/>
    </xf>
    <xf numFmtId="14" fontId="24" fillId="0" borderId="4" xfId="0" applyNumberFormat="1" applyFont="1" applyBorder="1" applyAlignment="1">
      <alignment horizontal="right"/>
    </xf>
    <xf numFmtId="10" fontId="24" fillId="0" borderId="0" xfId="0" applyNumberFormat="1" applyFont="1" applyAlignment="1">
      <alignment horizontal="right"/>
    </xf>
    <xf numFmtId="14" fontId="20" fillId="0" borderId="0" xfId="0" applyNumberFormat="1" applyFont="1" applyAlignment="1">
      <alignment horizontal="right"/>
    </xf>
    <xf numFmtId="14" fontId="24" fillId="8" borderId="0" xfId="0" applyNumberFormat="1" applyFont="1" applyFill="1" applyAlignment="1">
      <alignment horizontal="right"/>
    </xf>
    <xf numFmtId="10" fontId="24" fillId="8" borderId="0" xfId="0" applyNumberFormat="1" applyFont="1" applyFill="1" applyAlignment="1">
      <alignment horizontal="right"/>
    </xf>
    <xf numFmtId="14" fontId="24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0" fillId="0" borderId="2" xfId="0" applyBorder="1"/>
    <xf numFmtId="2" fontId="27" fillId="5" borderId="4" xfId="0" applyNumberFormat="1" applyFont="1" applyFill="1" applyBorder="1" applyAlignment="1">
      <alignment horizontal="centerContinuous" vertical="center"/>
    </xf>
    <xf numFmtId="2" fontId="27" fillId="5" borderId="3" xfId="0" applyNumberFormat="1" applyFont="1" applyFill="1" applyBorder="1" applyAlignment="1">
      <alignment horizontal="centerContinuous" vertical="center"/>
    </xf>
    <xf numFmtId="0" fontId="28" fillId="3" borderId="4" xfId="0" applyFont="1" applyFill="1" applyBorder="1" applyAlignment="1">
      <alignment horizontal="left" vertical="center"/>
    </xf>
    <xf numFmtId="0" fontId="28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 wrapText="1"/>
    </xf>
    <xf numFmtId="10" fontId="28" fillId="3" borderId="10" xfId="0" applyNumberFormat="1" applyFont="1" applyFill="1" applyBorder="1" applyAlignment="1">
      <alignment horizontal="center" vertical="center" wrapText="1"/>
    </xf>
    <xf numFmtId="0" fontId="28" fillId="3" borderId="11" xfId="0" applyFont="1" applyFill="1" applyBorder="1" applyAlignment="1">
      <alignment horizontal="center" vertical="center" wrapText="1"/>
    </xf>
    <xf numFmtId="0" fontId="28" fillId="3" borderId="10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3" fontId="30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9" fontId="26" fillId="0" borderId="4" xfId="0" applyNumberFormat="1" applyFont="1" applyBorder="1" applyAlignment="1">
      <alignment horizontal="center" vertical="center"/>
    </xf>
    <xf numFmtId="182" fontId="30" fillId="0" borderId="4" xfId="0" applyNumberFormat="1" applyFont="1" applyBorder="1" applyAlignment="1">
      <alignment horizontal="center" vertical="center"/>
    </xf>
    <xf numFmtId="9" fontId="30" fillId="0" borderId="4" xfId="0" applyNumberFormat="1" applyFont="1" applyBorder="1" applyAlignment="1">
      <alignment horizontal="center" vertical="center"/>
    </xf>
    <xf numFmtId="10" fontId="30" fillId="0" borderId="4" xfId="0" applyNumberFormat="1" applyFont="1" applyBorder="1" applyAlignment="1">
      <alignment horizontal="center" vertical="center"/>
    </xf>
    <xf numFmtId="190" fontId="30" fillId="0" borderId="3" xfId="0" applyNumberFormat="1" applyFont="1" applyBorder="1" applyAlignment="1">
      <alignment horizontal="center" vertical="center"/>
    </xf>
    <xf numFmtId="191" fontId="30" fillId="0" borderId="4" xfId="0" applyNumberFormat="1" applyFont="1" applyBorder="1" applyAlignment="1">
      <alignment horizontal="center" vertical="center"/>
    </xf>
    <xf numFmtId="191" fontId="29" fillId="0" borderId="3" xfId="0" applyNumberFormat="1" applyFont="1" applyBorder="1" applyAlignment="1">
      <alignment horizontal="center" vertical="center"/>
    </xf>
    <xf numFmtId="191" fontId="30" fillId="0" borderId="1" xfId="0" applyNumberFormat="1" applyFont="1" applyBorder="1" applyAlignment="1">
      <alignment horizontal="center" vertical="center"/>
    </xf>
    <xf numFmtId="168" fontId="30" fillId="0" borderId="4" xfId="0" applyNumberFormat="1" applyFont="1" applyBorder="1" applyAlignment="1">
      <alignment horizontal="center" vertical="center"/>
    </xf>
    <xf numFmtId="168" fontId="29" fillId="0" borderId="3" xfId="0" applyNumberFormat="1" applyFont="1" applyBorder="1" applyAlignment="1">
      <alignment horizontal="center" vertical="center"/>
    </xf>
    <xf numFmtId="180" fontId="30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0" fontId="0" fillId="0" borderId="8" xfId="0" applyBorder="1"/>
    <xf numFmtId="189" fontId="26" fillId="0" borderId="7" xfId="0" applyNumberFormat="1" applyFont="1" applyBorder="1" applyAlignment="1">
      <alignment horizontal="center" vertical="center"/>
    </xf>
    <xf numFmtId="182" fontId="30" fillId="0" borderId="0" xfId="0" applyNumberFormat="1" applyFont="1" applyAlignment="1">
      <alignment horizontal="center" vertical="center"/>
    </xf>
    <xf numFmtId="189" fontId="26" fillId="0" borderId="0" xfId="0" applyNumberFormat="1" applyFont="1" applyAlignment="1">
      <alignment horizontal="center" vertical="center"/>
    </xf>
    <xf numFmtId="9" fontId="30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90" fontId="30" fillId="0" borderId="2" xfId="0" applyNumberFormat="1" applyFont="1" applyBorder="1" applyAlignment="1">
      <alignment horizontal="center" vertical="center"/>
    </xf>
    <xf numFmtId="191" fontId="30" fillId="0" borderId="0" xfId="0" applyNumberFormat="1" applyFont="1" applyAlignment="1">
      <alignment horizontal="center" vertical="center"/>
    </xf>
    <xf numFmtId="191" fontId="29" fillId="0" borderId="2" xfId="0" applyNumberFormat="1" applyFont="1" applyBorder="1" applyAlignment="1">
      <alignment horizontal="center" vertical="center"/>
    </xf>
    <xf numFmtId="191" fontId="30" fillId="0" borderId="7" xfId="0" applyNumberFormat="1" applyFont="1" applyBorder="1" applyAlignment="1">
      <alignment horizontal="center" vertical="center"/>
    </xf>
    <xf numFmtId="168" fontId="30" fillId="0" borderId="0" xfId="0" applyNumberFormat="1" applyFont="1" applyAlignment="1">
      <alignment horizontal="center" vertical="center"/>
    </xf>
    <xf numFmtId="168" fontId="29" fillId="0" borderId="2" xfId="0" applyNumberFormat="1" applyFont="1" applyBorder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0" fontId="29" fillId="0" borderId="2" xfId="0" applyNumberFormat="1" applyFont="1" applyBorder="1" applyAlignment="1">
      <alignment horizontal="center" vertical="center"/>
    </xf>
    <xf numFmtId="189" fontId="26" fillId="0" borderId="5" xfId="0" applyNumberFormat="1" applyFont="1" applyBorder="1" applyAlignment="1">
      <alignment horizontal="center" vertical="center"/>
    </xf>
    <xf numFmtId="182" fontId="30" fillId="0" borderId="8" xfId="0" applyNumberFormat="1" applyFont="1" applyBorder="1" applyAlignment="1">
      <alignment horizontal="center" vertical="center"/>
    </xf>
    <xf numFmtId="189" fontId="26" fillId="0" borderId="8" xfId="0" applyNumberFormat="1" applyFont="1" applyBorder="1" applyAlignment="1">
      <alignment horizontal="center" vertical="center"/>
    </xf>
    <xf numFmtId="9" fontId="30" fillId="0" borderId="8" xfId="0" applyNumberFormat="1" applyFont="1" applyBorder="1" applyAlignment="1">
      <alignment horizontal="center" vertical="center"/>
    </xf>
    <xf numFmtId="10" fontId="30" fillId="0" borderId="8" xfId="0" applyNumberFormat="1" applyFont="1" applyBorder="1" applyAlignment="1">
      <alignment horizontal="center" vertical="center"/>
    </xf>
    <xf numFmtId="190" fontId="30" fillId="0" borderId="6" xfId="0" applyNumberFormat="1" applyFont="1" applyBorder="1" applyAlignment="1">
      <alignment horizontal="center" vertical="center"/>
    </xf>
    <xf numFmtId="191" fontId="30" fillId="0" borderId="8" xfId="0" applyNumberFormat="1" applyFont="1" applyBorder="1" applyAlignment="1">
      <alignment horizontal="center" vertical="center"/>
    </xf>
    <xf numFmtId="191" fontId="29" fillId="0" borderId="6" xfId="0" applyNumberFormat="1" applyFont="1" applyBorder="1" applyAlignment="1">
      <alignment horizontal="center" vertical="center"/>
    </xf>
    <xf numFmtId="191" fontId="30" fillId="0" borderId="5" xfId="0" applyNumberFormat="1" applyFont="1" applyBorder="1" applyAlignment="1">
      <alignment horizontal="center" vertical="center"/>
    </xf>
    <xf numFmtId="168" fontId="30" fillId="0" borderId="8" xfId="0" applyNumberFormat="1" applyFont="1" applyBorder="1" applyAlignment="1">
      <alignment horizontal="center" vertical="center"/>
    </xf>
    <xf numFmtId="168" fontId="29" fillId="0" borderId="6" xfId="0" applyNumberFormat="1" applyFont="1" applyBorder="1" applyAlignment="1">
      <alignment horizontal="center" vertical="center"/>
    </xf>
    <xf numFmtId="180" fontId="30" fillId="0" borderId="8" xfId="0" applyNumberFormat="1" applyFont="1" applyBorder="1" applyAlignment="1">
      <alignment horizontal="center" vertical="center"/>
    </xf>
    <xf numFmtId="180" fontId="29" fillId="0" borderId="6" xfId="0" applyNumberFormat="1" applyFont="1" applyBorder="1" applyAlignment="1">
      <alignment horizontal="center" vertical="center"/>
    </xf>
    <xf numFmtId="0" fontId="31" fillId="0" borderId="0" xfId="0" applyFont="1"/>
    <xf numFmtId="0" fontId="26" fillId="0" borderId="4" xfId="0" applyFont="1" applyBorder="1"/>
    <xf numFmtId="0" fontId="26" fillId="0" borderId="0" xfId="0" applyFont="1"/>
    <xf numFmtId="22" fontId="26" fillId="0" borderId="0" xfId="0" applyNumberFormat="1" applyFont="1"/>
    <xf numFmtId="10" fontId="26" fillId="0" borderId="0" xfId="0" applyNumberFormat="1" applyFont="1"/>
    <xf numFmtId="0" fontId="30" fillId="0" borderId="0" xfId="0" applyFont="1" applyAlignment="1">
      <alignment horizontal="left"/>
    </xf>
    <xf numFmtId="37" fontId="0" fillId="0" borderId="0" xfId="0" applyNumberFormat="1" applyAlignment="1">
      <alignment horizontal="center"/>
    </xf>
    <xf numFmtId="0" fontId="28" fillId="3" borderId="3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37" fontId="30" fillId="0" borderId="4" xfId="0" applyNumberFormat="1" applyFont="1" applyBorder="1" applyAlignment="1">
      <alignment horizontal="center" vertical="center" wrapText="1"/>
    </xf>
    <xf numFmtId="185" fontId="30" fillId="0" borderId="3" xfId="0" applyNumberFormat="1" applyFont="1" applyBorder="1" applyAlignment="1">
      <alignment horizontal="center" vertical="center" wrapText="1"/>
    </xf>
    <xf numFmtId="188" fontId="30" fillId="0" borderId="4" xfId="0" applyNumberFormat="1" applyFont="1" applyBorder="1" applyAlignment="1">
      <alignment horizontal="center" vertical="center" wrapText="1"/>
    </xf>
    <xf numFmtId="14" fontId="30" fillId="0" borderId="3" xfId="0" applyNumberFormat="1" applyFont="1" applyBorder="1" applyAlignment="1">
      <alignment horizontal="center" vertical="center" wrapText="1"/>
    </xf>
    <xf numFmtId="182" fontId="30" fillId="0" borderId="4" xfId="0" applyNumberFormat="1" applyFont="1" applyBorder="1" applyAlignment="1">
      <alignment horizontal="center" vertical="center" wrapText="1"/>
    </xf>
    <xf numFmtId="10" fontId="26" fillId="0" borderId="4" xfId="0" applyNumberFormat="1" applyFont="1" applyBorder="1" applyAlignment="1">
      <alignment horizontal="center" vertical="center" wrapText="1"/>
    </xf>
    <xf numFmtId="192" fontId="30" fillId="0" borderId="4" xfId="0" applyNumberFormat="1" applyFont="1" applyBorder="1" applyAlignment="1">
      <alignment horizontal="center" vertical="center" wrapText="1"/>
    </xf>
    <xf numFmtId="192" fontId="26" fillId="0" borderId="3" xfId="0" applyNumberFormat="1" applyFont="1" applyBorder="1" applyAlignment="1">
      <alignment horizontal="center" vertical="center" wrapText="1"/>
    </xf>
    <xf numFmtId="37" fontId="30" fillId="0" borderId="0" xfId="0" applyNumberFormat="1" applyFont="1" applyAlignment="1">
      <alignment horizontal="center" vertical="center" wrapText="1"/>
    </xf>
    <xf numFmtId="185" fontId="30" fillId="0" borderId="2" xfId="0" applyNumberFormat="1" applyFont="1" applyBorder="1" applyAlignment="1">
      <alignment horizontal="center" vertical="center" wrapText="1"/>
    </xf>
    <xf numFmtId="188" fontId="30" fillId="0" borderId="0" xfId="0" applyNumberFormat="1" applyFont="1" applyAlignment="1">
      <alignment horizontal="center" vertical="center" wrapText="1"/>
    </xf>
    <xf numFmtId="14" fontId="30" fillId="0" borderId="2" xfId="0" applyNumberFormat="1" applyFont="1" applyBorder="1" applyAlignment="1">
      <alignment horizontal="center" vertical="center" wrapText="1"/>
    </xf>
    <xf numFmtId="182" fontId="30" fillId="0" borderId="0" xfId="0" applyNumberFormat="1" applyFont="1" applyAlignment="1">
      <alignment horizontal="center" vertical="center" wrapText="1"/>
    </xf>
    <xf numFmtId="10" fontId="26" fillId="0" borderId="0" xfId="0" applyNumberFormat="1" applyFont="1" applyAlignment="1">
      <alignment horizontal="center" vertical="center" wrapText="1"/>
    </xf>
    <xf numFmtId="192" fontId="30" fillId="0" borderId="0" xfId="0" applyNumberFormat="1" applyFont="1" applyAlignment="1">
      <alignment horizontal="center" vertical="center" wrapText="1"/>
    </xf>
    <xf numFmtId="192" fontId="26" fillId="0" borderId="2" xfId="0" applyNumberFormat="1" applyFont="1" applyBorder="1" applyAlignment="1">
      <alignment horizontal="center" vertical="center" wrapText="1"/>
    </xf>
    <xf numFmtId="0" fontId="29" fillId="3" borderId="9" xfId="0" applyFont="1" applyFill="1" applyBorder="1"/>
    <xf numFmtId="37" fontId="29" fillId="3" borderId="10" xfId="0" applyNumberFormat="1" applyFont="1" applyFill="1" applyBorder="1" applyAlignment="1">
      <alignment horizontal="center" vertical="center" wrapText="1"/>
    </xf>
    <xf numFmtId="185" fontId="29" fillId="3" borderId="11" xfId="0" applyNumberFormat="1" applyFont="1" applyFill="1" applyBorder="1" applyAlignment="1">
      <alignment horizontal="center" vertical="center" wrapText="1"/>
    </xf>
    <xf numFmtId="188" fontId="29" fillId="3" borderId="10" xfId="0" applyNumberFormat="1" applyFont="1" applyFill="1" applyBorder="1" applyAlignment="1">
      <alignment horizontal="center" vertical="center" wrapText="1"/>
    </xf>
    <xf numFmtId="14" fontId="29" fillId="3" borderId="11" xfId="0" applyNumberFormat="1" applyFont="1" applyFill="1" applyBorder="1" applyAlignment="1">
      <alignment horizontal="center" vertical="center" wrapText="1"/>
    </xf>
    <xf numFmtId="182" fontId="29" fillId="3" borderId="10" xfId="0" applyNumberFormat="1" applyFont="1" applyFill="1" applyBorder="1" applyAlignment="1">
      <alignment horizontal="center" vertical="center" wrapText="1"/>
    </xf>
    <xf numFmtId="10" fontId="29" fillId="3" borderId="10" xfId="0" applyNumberFormat="1" applyFont="1" applyFill="1" applyBorder="1" applyAlignment="1">
      <alignment horizontal="center" vertical="center" wrapText="1"/>
    </xf>
    <xf numFmtId="192" fontId="29" fillId="3" borderId="10" xfId="0" applyNumberFormat="1" applyFont="1" applyFill="1" applyBorder="1" applyAlignment="1">
      <alignment horizontal="center" vertical="center" wrapText="1"/>
    </xf>
    <xf numFmtId="192" fontId="29" fillId="3" borderId="11" xfId="0" applyNumberFormat="1" applyFont="1" applyFill="1" applyBorder="1" applyAlignment="1">
      <alignment horizontal="center" vertical="center" wrapText="1"/>
    </xf>
    <xf numFmtId="0" fontId="30" fillId="0" borderId="0" xfId="0" applyFont="1"/>
    <xf numFmtId="14" fontId="26" fillId="0" borderId="0" xfId="0" applyNumberFormat="1" applyFont="1"/>
    <xf numFmtId="2" fontId="27" fillId="5" borderId="1" xfId="0" applyNumberFormat="1" applyFont="1" applyFill="1" applyBorder="1" applyAlignment="1">
      <alignment horizontal="centerContinuous" vertical="center"/>
    </xf>
    <xf numFmtId="0" fontId="28" fillId="3" borderId="9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/>
    </xf>
    <xf numFmtId="0" fontId="30" fillId="0" borderId="7" xfId="0" applyFont="1" applyBorder="1" applyAlignment="1">
      <alignment horizontal="left" vertical="center"/>
    </xf>
    <xf numFmtId="0" fontId="30" fillId="0" borderId="0" xfId="0" applyFont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18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93" fontId="0" fillId="0" borderId="2" xfId="0" applyNumberFormat="1" applyBorder="1" applyAlignment="1">
      <alignment horizontal="center"/>
    </xf>
    <xf numFmtId="168" fontId="30" fillId="0" borderId="2" xfId="0" applyNumberFormat="1" applyFont="1" applyBorder="1" applyAlignment="1">
      <alignment horizontal="center" vertical="center"/>
    </xf>
    <xf numFmtId="168" fontId="26" fillId="0" borderId="0" xfId="0" applyNumberFormat="1" applyFont="1" applyAlignment="1">
      <alignment horizontal="center" vertical="center"/>
    </xf>
    <xf numFmtId="168" fontId="26" fillId="0" borderId="2" xfId="0" applyNumberFormat="1" applyFont="1" applyBorder="1" applyAlignment="1">
      <alignment horizontal="center" vertical="center"/>
    </xf>
    <xf numFmtId="182" fontId="0" fillId="0" borderId="0" xfId="0" applyNumberFormat="1" applyAlignment="1">
      <alignment horizontal="center"/>
    </xf>
    <xf numFmtId="182" fontId="26" fillId="0" borderId="0" xfId="0" applyNumberFormat="1" applyFont="1" applyAlignment="1">
      <alignment horizontal="center"/>
    </xf>
    <xf numFmtId="2" fontId="30" fillId="0" borderId="0" xfId="0" applyNumberFormat="1" applyFont="1" applyAlignment="1">
      <alignment horizontal="center"/>
    </xf>
    <xf numFmtId="1" fontId="0" fillId="0" borderId="0" xfId="0" applyNumberFormat="1"/>
    <xf numFmtId="194" fontId="0" fillId="0" borderId="0" xfId="0" applyNumberFormat="1"/>
    <xf numFmtId="0" fontId="30" fillId="0" borderId="7" xfId="0" applyFont="1" applyBorder="1" applyAlignment="1">
      <alignment horizontal="left"/>
    </xf>
    <xf numFmtId="0" fontId="30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8" fillId="3" borderId="9" xfId="0" applyFont="1" applyFill="1" applyBorder="1" applyAlignment="1">
      <alignment horizontal="left"/>
    </xf>
    <xf numFmtId="0" fontId="28" fillId="3" borderId="10" xfId="0" applyFont="1" applyFill="1" applyBorder="1" applyAlignment="1">
      <alignment horizontal="center"/>
    </xf>
    <xf numFmtId="3" fontId="28" fillId="3" borderId="10" xfId="0" applyNumberFormat="1" applyFont="1" applyFill="1" applyBorder="1" applyAlignment="1">
      <alignment horizontal="center"/>
    </xf>
    <xf numFmtId="185" fontId="28" fillId="3" borderId="10" xfId="0" applyNumberFormat="1" applyFont="1" applyFill="1" applyBorder="1" applyAlignment="1">
      <alignment horizontal="center"/>
    </xf>
    <xf numFmtId="193" fontId="28" fillId="3" borderId="11" xfId="0" applyNumberFormat="1" applyFont="1" applyFill="1" applyBorder="1" applyAlignment="1">
      <alignment horizontal="center"/>
    </xf>
    <xf numFmtId="182" fontId="28" fillId="3" borderId="10" xfId="0" applyNumberFormat="1" applyFont="1" applyFill="1" applyBorder="1" applyAlignment="1">
      <alignment horizontal="center"/>
    </xf>
    <xf numFmtId="182" fontId="28" fillId="3" borderId="11" xfId="0" applyNumberFormat="1" applyFont="1" applyFill="1" applyBorder="1" applyAlignment="1">
      <alignment horizontal="center"/>
    </xf>
    <xf numFmtId="0" fontId="28" fillId="3" borderId="11" xfId="0" applyFont="1" applyFill="1" applyBorder="1" applyAlignment="1">
      <alignment horizontal="center"/>
    </xf>
    <xf numFmtId="11" fontId="26" fillId="0" borderId="0" xfId="0" applyNumberFormat="1" applyFont="1"/>
    <xf numFmtId="175" fontId="32" fillId="0" borderId="0" xfId="0" applyNumberFormat="1" applyFont="1"/>
    <xf numFmtId="175" fontId="33" fillId="0" borderId="0" xfId="0" applyNumberFormat="1" applyFont="1"/>
    <xf numFmtId="0" fontId="34" fillId="5" borderId="9" xfId="0" applyFont="1" applyFill="1" applyBorder="1" applyAlignment="1">
      <alignment horizontal="centerContinuous"/>
    </xf>
    <xf numFmtId="0" fontId="33" fillId="5" borderId="10" xfId="0" applyFont="1" applyFill="1" applyBorder="1" applyAlignment="1">
      <alignment horizontal="centerContinuous"/>
    </xf>
    <xf numFmtId="0" fontId="33" fillId="5" borderId="11" xfId="0" applyFont="1" applyFill="1" applyBorder="1" applyAlignment="1">
      <alignment horizontal="centerContinuous"/>
    </xf>
    <xf numFmtId="195" fontId="29" fillId="0" borderId="7" xfId="0" applyNumberFormat="1" applyFont="1" applyBorder="1"/>
    <xf numFmtId="196" fontId="29" fillId="0" borderId="0" xfId="0" applyNumberFormat="1" applyFont="1" applyAlignment="1">
      <alignment horizontal="right"/>
    </xf>
    <xf numFmtId="175" fontId="29" fillId="0" borderId="2" xfId="0" applyNumberFormat="1" applyFont="1" applyBorder="1"/>
    <xf numFmtId="197" fontId="35" fillId="9" borderId="0" xfId="0" applyNumberFormat="1" applyFont="1" applyFill="1" applyAlignment="1">
      <alignment horizontal="right"/>
    </xf>
    <xf numFmtId="184" fontId="29" fillId="0" borderId="0" xfId="0" applyNumberFormat="1" applyFont="1" applyAlignment="1">
      <alignment horizontal="right"/>
    </xf>
    <xf numFmtId="175" fontId="29" fillId="0" borderId="2" xfId="0" applyNumberFormat="1" applyFont="1" applyBorder="1" applyAlignment="1">
      <alignment horizontal="right"/>
    </xf>
    <xf numFmtId="0" fontId="29" fillId="4" borderId="9" xfId="0" applyFont="1" applyFill="1" applyBorder="1" applyAlignment="1">
      <alignment horizontal="left" wrapText="1"/>
    </xf>
    <xf numFmtId="0" fontId="29" fillId="4" borderId="10" xfId="0" applyFont="1" applyFill="1" applyBorder="1" applyAlignment="1">
      <alignment horizontal="right"/>
    </xf>
    <xf numFmtId="0" fontId="29" fillId="4" borderId="17" xfId="0" applyFont="1" applyFill="1" applyBorder="1" applyAlignment="1">
      <alignment horizontal="right"/>
    </xf>
    <xf numFmtId="175" fontId="30" fillId="0" borderId="7" xfId="0" applyNumberFormat="1" applyFont="1" applyBorder="1"/>
    <xf numFmtId="198" fontId="30" fillId="0" borderId="0" xfId="0" applyNumberFormat="1" applyFont="1" applyAlignment="1">
      <alignment horizontal="right"/>
    </xf>
    <xf numFmtId="198" fontId="30" fillId="0" borderId="14" xfId="0" applyNumberFormat="1" applyFont="1" applyBorder="1" applyAlignment="1">
      <alignment horizontal="right"/>
    </xf>
    <xf numFmtId="199" fontId="26" fillId="0" borderId="5" xfId="0" applyNumberFormat="1" applyFont="1" applyBorder="1" applyAlignment="1">
      <alignment horizontal="left"/>
    </xf>
    <xf numFmtId="198" fontId="30" fillId="0" borderId="8" xfId="0" applyNumberFormat="1" applyFont="1" applyBorder="1" applyAlignment="1">
      <alignment horizontal="right"/>
    </xf>
    <xf numFmtId="198" fontId="30" fillId="0" borderId="16" xfId="0" applyNumberFormat="1" applyFont="1" applyBorder="1" applyAlignment="1">
      <alignment horizontal="right"/>
    </xf>
    <xf numFmtId="175" fontId="30" fillId="0" borderId="1" xfId="0" applyNumberFormat="1" applyFont="1" applyBorder="1"/>
    <xf numFmtId="200" fontId="30" fillId="0" borderId="0" xfId="0" applyNumberFormat="1" applyFont="1" applyAlignment="1">
      <alignment horizontal="right"/>
    </xf>
    <xf numFmtId="200" fontId="30" fillId="0" borderId="14" xfId="0" applyNumberFormat="1" applyFont="1" applyBorder="1" applyAlignment="1">
      <alignment horizontal="right"/>
    </xf>
    <xf numFmtId="201" fontId="33" fillId="0" borderId="0" xfId="0" applyNumberFormat="1" applyFont="1"/>
    <xf numFmtId="0" fontId="29" fillId="4" borderId="9" xfId="0" applyFont="1" applyFill="1" applyBorder="1" applyAlignment="1">
      <alignment horizontal="left"/>
    </xf>
    <xf numFmtId="198" fontId="30" fillId="9" borderId="0" xfId="0" applyNumberFormat="1" applyFont="1" applyFill="1" applyAlignment="1">
      <alignment horizontal="right"/>
    </xf>
    <xf numFmtId="175" fontId="29" fillId="4" borderId="1" xfId="0" applyNumberFormat="1" applyFont="1" applyFill="1" applyBorder="1"/>
    <xf numFmtId="198" fontId="29" fillId="4" borderId="4" xfId="0" applyNumberFormat="1" applyFont="1" applyFill="1" applyBorder="1" applyAlignment="1">
      <alignment horizontal="right"/>
    </xf>
    <xf numFmtId="198" fontId="29" fillId="4" borderId="18" xfId="0" applyNumberFormat="1" applyFont="1" applyFill="1" applyBorder="1" applyAlignment="1">
      <alignment horizontal="right"/>
    </xf>
    <xf numFmtId="198" fontId="27" fillId="0" borderId="0" xfId="0" applyNumberFormat="1" applyFont="1" applyAlignment="1">
      <alignment horizontal="right"/>
    </xf>
    <xf numFmtId="198" fontId="36" fillId="0" borderId="0" xfId="0" applyNumberFormat="1" applyFont="1" applyAlignment="1">
      <alignment horizontal="right"/>
    </xf>
    <xf numFmtId="175" fontId="29" fillId="4" borderId="5" xfId="0" applyNumberFormat="1" applyFont="1" applyFill="1" applyBorder="1"/>
    <xf numFmtId="200" fontId="29" fillId="4" borderId="8" xfId="0" applyNumberFormat="1" applyFont="1" applyFill="1" applyBorder="1" applyAlignment="1">
      <alignment horizontal="right"/>
    </xf>
    <xf numFmtId="200" fontId="29" fillId="4" borderId="16" xfId="0" applyNumberFormat="1" applyFont="1" applyFill="1" applyBorder="1" applyAlignment="1">
      <alignment horizontal="right"/>
    </xf>
    <xf numFmtId="175" fontId="33" fillId="0" borderId="0" xfId="0" applyNumberFormat="1" applyFont="1" applyAlignment="1">
      <alignment horizontal="right"/>
    </xf>
    <xf numFmtId="202" fontId="37" fillId="0" borderId="7" xfId="0" applyNumberFormat="1" applyFont="1" applyBorder="1" applyAlignment="1">
      <alignment horizontal="left"/>
    </xf>
    <xf numFmtId="200" fontId="29" fillId="0" borderId="0" xfId="0" applyNumberFormat="1" applyFont="1" applyAlignment="1">
      <alignment horizontal="right"/>
    </xf>
    <xf numFmtId="200" fontId="29" fillId="0" borderId="7" xfId="0" applyNumberFormat="1" applyFont="1" applyBorder="1" applyAlignment="1">
      <alignment horizontal="right"/>
    </xf>
    <xf numFmtId="175" fontId="29" fillId="4" borderId="9" xfId="0" applyNumberFormat="1" applyFont="1" applyFill="1" applyBorder="1"/>
    <xf numFmtId="198" fontId="29" fillId="4" borderId="10" xfId="0" applyNumberFormat="1" applyFont="1" applyFill="1" applyBorder="1" applyAlignment="1">
      <alignment horizontal="right"/>
    </xf>
    <xf numFmtId="198" fontId="29" fillId="4" borderId="17" xfId="0" applyNumberFormat="1" applyFont="1" applyFill="1" applyBorder="1" applyAlignment="1">
      <alignment horizontal="right"/>
    </xf>
    <xf numFmtId="201" fontId="0" fillId="0" borderId="0" xfId="0" applyNumberFormat="1"/>
    <xf numFmtId="0" fontId="26" fillId="0" borderId="3" xfId="0" applyFont="1" applyBorder="1"/>
    <xf numFmtId="0" fontId="0" fillId="0" borderId="14" xfId="0" applyBorder="1"/>
    <xf numFmtId="0" fontId="26" fillId="0" borderId="2" xfId="0" applyFont="1" applyBorder="1"/>
  </cellXfs>
  <cellStyles count="1">
    <cellStyle name="Normal" xfId="0" builtinId="0"/>
  </cellStyles>
  <dxfs count="3">
    <dxf>
      <font>
        <b/>
        <i/>
        <color rgb="FFFF0000"/>
        <strike/>
      </font>
    </dxf>
    <dxf>
      <font>
        <b/>
        <i/>
        <color rgb="FFFF0000"/>
        <strike/>
      </font>
    </dxf>
    <dxf>
      <font>
        <b/>
        <i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7.xml"/><Relationship Id="rId6" Type="http://schemas.openxmlformats.org/officeDocument/2006/relationships/worksheet" Target="worksheets/sheet59.xml"/><Relationship Id="rId7" Type="http://schemas.openxmlformats.org/officeDocument/2006/relationships/worksheet" Target="worksheets/sheet58.xml"/><Relationship Id="rId8" Type="http://schemas.openxmlformats.org/officeDocument/2006/relationships/worksheet" Target="worksheets/sheet66.xml"/><Relationship Id="rId9" Type="http://schemas.openxmlformats.org/officeDocument/2006/relationships/worksheet" Target="worksheets/sheet68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4E78"/>
    <pageSetUpPr fitToPage="1"/>
  </sheetPr>
  <dimension ref="C3:GD358"/>
  <sheetViews>
    <sheetView workbookViewId="0" showGridLines="0" zoomScale="55" zoomScaleNormal="55" view="pageBreakPreview">
      <selection activeCell="T53" sqref="T53"/>
    </sheetView>
  </sheetViews>
  <sheetFormatPr defaultRowHeight="19.5" outlineLevelRow="0" outlineLevelCol="0" x14ac:dyDescent="0.3" defaultColWidth="9.140625" customHeight="1"/>
  <cols>
    <col min="1" max="1" width="3.28515625" style="1" customWidth="1"/>
    <col min="2" max="2" width="3.7109375" style="1" customWidth="1"/>
    <col min="3" max="3" width="41.42578125" style="1" customWidth="1"/>
    <col min="4" max="4" width="33" style="1" customWidth="1"/>
    <col min="5" max="5" width="17" style="1" customWidth="1"/>
    <col min="6" max="6" width="6.7109375" style="1" customWidth="1"/>
    <col min="7" max="7" width="45.42578125" style="1" customWidth="1"/>
    <col min="8" max="22" width="18.28515625" style="1" customWidth="1"/>
    <col min="23" max="24" width="14.28515625" style="1" customWidth="1"/>
    <col min="25" max="25" width="17" style="1" customWidth="1"/>
    <col min="26" max="26" width="18.28515625" style="1" customWidth="1"/>
    <col min="27" max="39" width="17" style="1" customWidth="1"/>
    <col min="40" max="16384" width="9.140625" style="1" customWidth="1"/>
  </cols>
  <sheetData>
    <row r="3" spans="3:26" x14ac:dyDescent="0.25">
      <c r="C3" s="2" t="str">
        <f>UPPER("General")</f>
        <v>GENERAL</v>
      </c>
      <c r="D3" s="3"/>
      <c r="E3" s="3"/>
      <c r="G3" s="4" t="str">
        <f>UPPER(+D4&amp;" Property Cash Flow")</f>
        <v>DISTRICT NORTH PROPERTY CASH FLOW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Y3" s="6" t="s">
        <v>0</v>
      </c>
      <c r="Z3" s="7"/>
    </row>
    <row r="4" spans="3:26" x14ac:dyDescent="0.25">
      <c r="C4" s="8" t="s">
        <v>1</v>
      </c>
      <c r="D4" s="9"/>
      <c r="E4" s="10"/>
      <c r="G4" s="11"/>
      <c r="H4" s="12">
        <v>1</v>
      </c>
      <c r="I4" s="12">
        <f>+H4+1</f>
        <v>2</v>
      </c>
      <c r="J4" s="12">
        <f t="shared" ref="J4:Q4" si="0">+I4+1</f>
        <v>3</v>
      </c>
      <c r="K4" s="12">
        <f t="shared" si="0"/>
        <v>4</v>
      </c>
      <c r="L4" s="12">
        <f t="shared" si="0"/>
        <v>5</v>
      </c>
      <c r="M4" s="12">
        <f t="shared" si="0"/>
        <v>6</v>
      </c>
      <c r="N4" s="12">
        <f t="shared" si="0"/>
        <v>7</v>
      </c>
      <c r="O4" s="12">
        <f t="shared" si="0"/>
        <v>8</v>
      </c>
      <c r="P4" s="12">
        <f t="shared" si="0"/>
        <v>9</v>
      </c>
      <c r="Q4" s="12">
        <f t="shared" si="0"/>
        <v>10</v>
      </c>
      <c r="R4" s="12">
        <f t="shared" ref="R4:V4" si="1">+Q4+1</f>
        <v>11</v>
      </c>
      <c r="S4" s="12">
        <f t="shared" si="1"/>
        <v>12</v>
      </c>
      <c r="T4" s="12">
        <f t="shared" si="1"/>
        <v>13</v>
      </c>
      <c r="U4" s="12">
        <f t="shared" si="1"/>
        <v>14</v>
      </c>
      <c r="V4" s="13">
        <f t="shared" si="1"/>
        <v>15</v>
      </c>
      <c r="Y4" s="14">
        <f>H13/SUM(D12:D13)</f>
        <v>-0.007785561652307508</v>
      </c>
      <c r="Z4" s="15"/>
    </row>
    <row r="5" spans="3:22" x14ac:dyDescent="0.25">
      <c r="C5" s="16" t="s">
        <v>2</v>
      </c>
      <c r="D5" s="17">
        <v>46266</v>
      </c>
      <c r="E5" s="18"/>
      <c r="G5" s="19">
        <f>+D5</f>
        <v>46266</v>
      </c>
      <c r="H5" s="20">
        <f>EDATE($D$5,12)-1</f>
        <v>46630</v>
      </c>
      <c r="I5" s="20">
        <f>EDATE(H5,12)</f>
        <v>46996</v>
      </c>
      <c r="J5" s="20">
        <f t="shared" ref="J5:V5" si="2">EDATE(I5,12)</f>
        <v>47361</v>
      </c>
      <c r="K5" s="20">
        <f t="shared" si="2"/>
        <v>47726</v>
      </c>
      <c r="L5" s="20">
        <f t="shared" si="2"/>
        <v>48091</v>
      </c>
      <c r="M5" s="20">
        <f t="shared" si="2"/>
        <v>48457</v>
      </c>
      <c r="N5" s="20">
        <f t="shared" si="2"/>
        <v>48822</v>
      </c>
      <c r="O5" s="20">
        <f t="shared" si="2"/>
        <v>49187</v>
      </c>
      <c r="P5" s="20">
        <f t="shared" si="2"/>
        <v>49552</v>
      </c>
      <c r="Q5" s="20">
        <f t="shared" si="2"/>
        <v>49918</v>
      </c>
      <c r="R5" s="20">
        <f t="shared" si="2"/>
        <v>50283</v>
      </c>
      <c r="S5" s="20">
        <f t="shared" si="2"/>
        <v>50648</v>
      </c>
      <c r="T5" s="20">
        <f t="shared" si="2"/>
        <v>51013</v>
      </c>
      <c r="U5" s="20">
        <f t="shared" si="2"/>
        <v>51379</v>
      </c>
      <c r="V5" s="21">
        <f t="shared" si="2"/>
        <v>51744</v>
      </c>
    </row>
    <row r="6" spans="3:26" x14ac:dyDescent="0.25">
      <c r="C6" s="16" t="s">
        <v>3</v>
      </c>
      <c r="D6" s="22"/>
      <c r="E6" s="23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Y6" s="6" t="s">
        <v>4</v>
      </c>
      <c r="Z6" s="7"/>
    </row>
    <row r="7" spans="3:26" x14ac:dyDescent="0.25">
      <c r="C7" s="16" t="s">
        <v>5</v>
      </c>
      <c r="D7" s="25"/>
      <c r="E7" s="26"/>
      <c r="G7" s="8" t="s">
        <v>6</v>
      </c>
      <c r="H7" s="27">
        <f>+H168</f>
        <v>0.5</v>
      </c>
      <c r="I7" s="27">
        <f>+I168</f>
        <v>1</v>
      </c>
      <c r="J7" s="27">
        <f t="shared" ref="J7:V7" si="3">+J168</f>
        <v>1</v>
      </c>
      <c r="K7" s="27">
        <f t="shared" si="3"/>
        <v>1</v>
      </c>
      <c r="L7" s="27">
        <f t="shared" si="3"/>
        <v>1</v>
      </c>
      <c r="M7" s="27">
        <f t="shared" si="3"/>
        <v>1</v>
      </c>
      <c r="N7" s="27">
        <f t="shared" si="3"/>
        <v>1</v>
      </c>
      <c r="O7" s="27">
        <f t="shared" si="3"/>
        <v>0.833333</v>
      </c>
      <c r="P7" s="27">
        <f t="shared" si="3"/>
        <v>1</v>
      </c>
      <c r="Q7" s="27">
        <f t="shared" si="3"/>
        <v>1</v>
      </c>
      <c r="R7" s="27">
        <f t="shared" si="3"/>
        <v>1</v>
      </c>
      <c r="S7" s="27">
        <f t="shared" si="3"/>
        <v>1</v>
      </c>
      <c r="T7" s="27">
        <f t="shared" si="3"/>
        <v>1</v>
      </c>
      <c r="U7" s="27">
        <f t="shared" si="3"/>
        <v>1</v>
      </c>
      <c r="V7" s="28">
        <f t="shared" si="3"/>
        <v>1</v>
      </c>
      <c r="Y7" s="14">
        <f>HLOOKUP(D34+1,H4:V27,24)</f>
        <v>0.09446326144234753</v>
      </c>
      <c r="Z7" s="15"/>
    </row>
    <row r="8" spans="3:22" x14ac:dyDescent="0.25">
      <c r="C8" s="16" t="s">
        <v>7</v>
      </c>
      <c r="D8" s="29"/>
      <c r="E8" s="30"/>
      <c r="G8" s="16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31"/>
    </row>
    <row r="9" spans="3:22" x14ac:dyDescent="0.25">
      <c r="C9" s="32" t="s">
        <v>8</v>
      </c>
      <c r="D9" s="33">
        <f>'Rent Roll'!F25</f>
        <v>1</v>
      </c>
      <c r="E9" s="34"/>
      <c r="G9" s="16" t="s">
        <v>9</v>
      </c>
      <c r="H9" s="35">
        <f>+H172</f>
        <v>18.5</v>
      </c>
      <c r="I9" s="35">
        <f t="shared" ref="I9:V9" si="4">+I172</f>
        <v>18.87</v>
      </c>
      <c r="J9" s="35">
        <f t="shared" si="4"/>
        <v>19.6248</v>
      </c>
      <c r="K9" s="35">
        <f t="shared" si="4"/>
        <v>20.4098</v>
      </c>
      <c r="L9" s="35">
        <f t="shared" si="4"/>
        <v>21.2262</v>
      </c>
      <c r="M9" s="35">
        <f t="shared" si="4"/>
        <v>22.0752</v>
      </c>
      <c r="N9" s="35">
        <f t="shared" si="4"/>
        <v>22.9582</v>
      </c>
      <c r="O9" s="35">
        <f t="shared" si="4"/>
        <v>23.5008</v>
      </c>
      <c r="P9" s="35">
        <f t="shared" si="4"/>
        <v>22.7527</v>
      </c>
      <c r="Q9" s="35">
        <f t="shared" si="4"/>
        <v>23.6628</v>
      </c>
      <c r="R9" s="35">
        <f t="shared" si="4"/>
        <v>24.6093</v>
      </c>
      <c r="S9" s="35">
        <f t="shared" si="4"/>
        <v>25.5937</v>
      </c>
      <c r="T9" s="35">
        <f t="shared" si="4"/>
        <v>26.6174</v>
      </c>
      <c r="U9" s="35">
        <f t="shared" si="4"/>
        <v>27.6821</v>
      </c>
      <c r="V9" s="36">
        <f t="shared" si="4"/>
        <v>28.7894</v>
      </c>
    </row>
    <row r="10" spans="7:22" x14ac:dyDescent="0.25">
      <c r="G10" s="16" t="s">
        <v>10</v>
      </c>
      <c r="H10" s="35">
        <f>+H170</f>
        <v>18.5</v>
      </c>
      <c r="I10" s="35">
        <f t="shared" ref="I10:V10" si="5">+I170</f>
        <v>18.5</v>
      </c>
      <c r="J10" s="35">
        <f t="shared" si="5"/>
        <v>19.06</v>
      </c>
      <c r="K10" s="35">
        <f t="shared" si="5"/>
        <v>19.63</v>
      </c>
      <c r="L10" s="35">
        <f t="shared" si="5"/>
        <v>20.22</v>
      </c>
      <c r="M10" s="35">
        <f t="shared" si="5"/>
        <v>20.82</v>
      </c>
      <c r="N10" s="35">
        <f t="shared" si="5"/>
        <v>21.45</v>
      </c>
      <c r="O10" s="35">
        <f t="shared" si="5"/>
        <v>22.09</v>
      </c>
      <c r="P10" s="35">
        <f t="shared" si="5"/>
        <v>22.75</v>
      </c>
      <c r="Q10" s="35">
        <f t="shared" si="5"/>
        <v>23.44</v>
      </c>
      <c r="R10" s="35">
        <f t="shared" si="5"/>
        <v>24.14</v>
      </c>
      <c r="S10" s="35">
        <f t="shared" si="5"/>
        <v>24.86</v>
      </c>
      <c r="T10" s="35">
        <f t="shared" si="5"/>
        <v>25.61</v>
      </c>
      <c r="U10" s="35">
        <f t="shared" si="5"/>
        <v>26.38</v>
      </c>
      <c r="V10" s="36">
        <f t="shared" si="5"/>
        <v>27.17</v>
      </c>
    </row>
    <row r="11" spans="3:22" x14ac:dyDescent="0.25">
      <c r="C11" s="37" t="str">
        <f>UPPER("Investment Assumptions")</f>
        <v>INVESTMENT ASSUMPTIONS</v>
      </c>
      <c r="D11" s="38"/>
      <c r="E11" s="39"/>
      <c r="G11" s="32" t="s">
        <v>11</v>
      </c>
      <c r="H11" s="40">
        <f>H9/H10-1</f>
        <v>0</v>
      </c>
      <c r="I11" s="40">
        <f t="shared" ref="I11:Q11" si="6">I9/I10-1</f>
        <v>0.020000000000000018</v>
      </c>
      <c r="J11" s="40">
        <f t="shared" si="6"/>
        <v>0.029632738719832297</v>
      </c>
      <c r="K11" s="40">
        <f t="shared" si="6"/>
        <v>0.039724910850738704</v>
      </c>
      <c r="L11" s="40">
        <f t="shared" si="6"/>
        <v>0.049762611275964375</v>
      </c>
      <c r="M11" s="40">
        <f t="shared" si="6"/>
        <v>0.06028818443804029</v>
      </c>
      <c r="N11" s="40">
        <f t="shared" si="6"/>
        <v>0.0703123543123545</v>
      </c>
      <c r="O11" s="40">
        <f t="shared" si="6"/>
        <v>0.06386600271616127</v>
      </c>
      <c r="P11" s="40">
        <f t="shared" si="6"/>
        <v>0.00011868131868131293</v>
      </c>
      <c r="Q11" s="40">
        <f t="shared" si="6"/>
        <v>0.009505119453924848</v>
      </c>
      <c r="R11" s="40">
        <f t="shared" ref="R11" si="7">R9/R10-1</f>
        <v>0.019440762220381158</v>
      </c>
      <c r="S11" s="40">
        <f t="shared" ref="S11" si="8">S9/S10-1</f>
        <v>0.029513274336283146</v>
      </c>
      <c r="T11" s="40">
        <f t="shared" ref="T11" si="9">T9/T10-1</f>
        <v>0.03933619679812583</v>
      </c>
      <c r="U11" s="40">
        <f t="shared" ref="U11" si="10">U9/U10-1</f>
        <v>0.049359363153904434</v>
      </c>
      <c r="V11" s="41">
        <f t="shared" ref="V11" si="11">V9/V10-1</f>
        <v>0.05960250276039747</v>
      </c>
    </row>
    <row r="12" spans="3:22" x14ac:dyDescent="0.25">
      <c r="C12" s="16" t="s">
        <v>12</v>
      </c>
      <c r="D12" s="42"/>
      <c r="E12" s="43">
        <f t="shared" ref="E12:E13" si="12">+D12/$D$8</f>
        <v>188.90795459912158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</row>
    <row r="13" spans="3:22" x14ac:dyDescent="0.25">
      <c r="C13" s="16" t="s">
        <v>13</v>
      </c>
      <c r="D13" s="42">
        <f>D12*2%</f>
        <v>240000</v>
      </c>
      <c r="E13" s="43">
        <f t="shared" si="12"/>
        <v>3.7781590919824315</v>
      </c>
      <c r="G13" s="44" t="s">
        <v>14</v>
      </c>
      <c r="H13" s="45">
        <f>+H155</f>
        <v>-95295.2746242439</v>
      </c>
      <c r="I13" s="45">
        <f t="shared" ref="I13:V13" si="13">+I155</f>
        <v>1155492.23614432</v>
      </c>
      <c r="J13" s="45">
        <f t="shared" si="13"/>
        <v>1201773.4115226</v>
      </c>
      <c r="K13" s="45">
        <f t="shared" si="13"/>
        <v>1249907.67849399</v>
      </c>
      <c r="L13" s="45">
        <f t="shared" si="13"/>
        <v>1299969.21605954</v>
      </c>
      <c r="M13" s="45">
        <f t="shared" si="13"/>
        <v>1352035.17204049</v>
      </c>
      <c r="N13" s="45">
        <f t="shared" si="13"/>
        <v>1406185.78188083</v>
      </c>
      <c r="O13" s="45">
        <f t="shared" si="13"/>
        <v>1175381.747441</v>
      </c>
      <c r="P13" s="45">
        <f t="shared" si="13"/>
        <v>1247194.60255503</v>
      </c>
      <c r="Q13" s="45">
        <f t="shared" si="13"/>
        <v>1448896.01364185</v>
      </c>
      <c r="R13" s="45">
        <f t="shared" si="13"/>
        <v>1506929.74272725</v>
      </c>
      <c r="S13" s="45">
        <f t="shared" si="13"/>
        <v>1567287.15763225</v>
      </c>
      <c r="T13" s="45">
        <f t="shared" si="13"/>
        <v>1630061.27588934</v>
      </c>
      <c r="U13" s="45">
        <f t="shared" si="13"/>
        <v>1695348.83783526</v>
      </c>
      <c r="V13" s="46">
        <f t="shared" si="13"/>
        <v>587809.167656085</v>
      </c>
    </row>
    <row r="14" spans="3:22" x14ac:dyDescent="0.25">
      <c r="C14" s="47">
        <v>0.015</v>
      </c>
      <c r="D14" s="48">
        <f>+D59</f>
        <v>120239.72873470206</v>
      </c>
      <c r="E14" s="43">
        <f t="shared" ref="E14:E20" si="14">+D14/$D$8</f>
        <v>1.8928534347354826</v>
      </c>
      <c r="G14" s="16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31"/>
    </row>
    <row r="15" spans="3:22" x14ac:dyDescent="0.25">
      <c r="C15" s="49">
        <v>0.01</v>
      </c>
      <c r="D15" s="48">
        <f>+C15*$D$12</f>
        <v>120000</v>
      </c>
      <c r="E15" s="43">
        <f t="shared" si="14"/>
        <v>1.8890795459912157</v>
      </c>
      <c r="G15" s="16" t="s">
        <v>15</v>
      </c>
      <c r="H15" s="50">
        <f>-H157</f>
        <v>-327143.45</v>
      </c>
      <c r="I15" s="50">
        <f t="shared" ref="I15:V15" si="15">-I157</f>
        <v>0</v>
      </c>
      <c r="J15" s="50">
        <f t="shared" si="15"/>
        <v>0</v>
      </c>
      <c r="K15" s="50">
        <f t="shared" si="15"/>
        <v>0</v>
      </c>
      <c r="L15" s="50">
        <f t="shared" si="15"/>
        <v>0</v>
      </c>
      <c r="M15" s="50">
        <f t="shared" si="15"/>
        <v>0</v>
      </c>
      <c r="N15" s="50">
        <f t="shared" si="15"/>
        <v>0</v>
      </c>
      <c r="O15" s="50">
        <f t="shared" si="15"/>
        <v>0</v>
      </c>
      <c r="P15" s="50">
        <f t="shared" si="15"/>
        <v>-251465.737124955</v>
      </c>
      <c r="Q15" s="50">
        <f t="shared" si="15"/>
        <v>0</v>
      </c>
      <c r="R15" s="50">
        <f t="shared" si="15"/>
        <v>0</v>
      </c>
      <c r="S15" s="50">
        <f t="shared" si="15"/>
        <v>0</v>
      </c>
      <c r="T15" s="50">
        <f t="shared" si="15"/>
        <v>0</v>
      </c>
      <c r="U15" s="50">
        <f t="shared" si="15"/>
        <v>0</v>
      </c>
      <c r="V15" s="51">
        <f t="shared" si="15"/>
        <v>0</v>
      </c>
    </row>
    <row r="16" spans="3:22" x14ac:dyDescent="0.25">
      <c r="C16" s="52" t="s">
        <v>16</v>
      </c>
      <c r="D16" s="53">
        <f>SUM(D12:D15)</f>
        <v>12480239.728734702</v>
      </c>
      <c r="E16" s="54">
        <f t="shared" si="14"/>
        <v>196.4680466718307</v>
      </c>
      <c r="G16" s="16" t="s">
        <v>17</v>
      </c>
      <c r="H16" s="50">
        <f>-H158</f>
        <v>-552586.680676639</v>
      </c>
      <c r="I16" s="50">
        <f t="shared" ref="I16:V16" si="16">-I158</f>
        <v>0</v>
      </c>
      <c r="J16" s="50">
        <f t="shared" si="16"/>
        <v>0</v>
      </c>
      <c r="K16" s="50">
        <f t="shared" si="16"/>
        <v>0</v>
      </c>
      <c r="L16" s="50">
        <f t="shared" si="16"/>
        <v>0</v>
      </c>
      <c r="M16" s="50">
        <f t="shared" si="16"/>
        <v>0</v>
      </c>
      <c r="N16" s="50">
        <f t="shared" si="16"/>
        <v>0</v>
      </c>
      <c r="O16" s="50">
        <f t="shared" si="16"/>
        <v>0</v>
      </c>
      <c r="P16" s="50">
        <f t="shared" si="16"/>
        <v>-521189.112528512</v>
      </c>
      <c r="Q16" s="50">
        <f t="shared" si="16"/>
        <v>0</v>
      </c>
      <c r="R16" s="50">
        <f t="shared" si="16"/>
        <v>0</v>
      </c>
      <c r="S16" s="50">
        <f t="shared" si="16"/>
        <v>0</v>
      </c>
      <c r="T16" s="50">
        <f t="shared" si="16"/>
        <v>0</v>
      </c>
      <c r="U16" s="50">
        <f t="shared" si="16"/>
        <v>0</v>
      </c>
      <c r="V16" s="51">
        <f t="shared" si="16"/>
        <v>0</v>
      </c>
    </row>
    <row r="17" spans="3:22" x14ac:dyDescent="0.25">
      <c r="C17" s="16" t="s">
        <v>18</v>
      </c>
      <c r="D17" s="48">
        <f>G74</f>
        <v>952845</v>
      </c>
      <c r="E17" s="43">
        <f t="shared" si="14"/>
        <v>15</v>
      </c>
      <c r="G17" s="16" t="s">
        <v>19</v>
      </c>
      <c r="H17" s="50">
        <f>-H159</f>
        <v>-16198.365</v>
      </c>
      <c r="I17" s="50">
        <f t="shared" ref="I17:V17" si="17">-I159</f>
        <v>-16684.31595</v>
      </c>
      <c r="J17" s="50">
        <f t="shared" si="17"/>
        <v>-17184.8454285</v>
      </c>
      <c r="K17" s="50">
        <f t="shared" si="17"/>
        <v>-17700.390791355</v>
      </c>
      <c r="L17" s="50">
        <f t="shared" si="17"/>
        <v>-18231.4025150957</v>
      </c>
      <c r="M17" s="50">
        <f t="shared" si="17"/>
        <v>-18778.3445905485</v>
      </c>
      <c r="N17" s="50">
        <f t="shared" si="17"/>
        <v>-19341.694928265</v>
      </c>
      <c r="O17" s="50">
        <f t="shared" si="17"/>
        <v>-19921.9457761129</v>
      </c>
      <c r="P17" s="50">
        <f t="shared" si="17"/>
        <v>-20519.6041493963</v>
      </c>
      <c r="Q17" s="50">
        <f>-Q159</f>
        <v>-21135.1922738782</v>
      </c>
      <c r="R17" s="50">
        <f t="shared" si="17"/>
        <v>-21769.2480420946</v>
      </c>
      <c r="S17" s="50">
        <f t="shared" si="17"/>
        <v>-22422.3254833574</v>
      </c>
      <c r="T17" s="50">
        <f t="shared" si="17"/>
        <v>-23094.9952478581</v>
      </c>
      <c r="U17" s="50">
        <f t="shared" si="17"/>
        <v>-23787.8451052939</v>
      </c>
      <c r="V17" s="51">
        <f t="shared" si="17"/>
        <v>-8007.01975766427</v>
      </c>
    </row>
    <row r="18" spans="3:22" x14ac:dyDescent="0.25">
      <c r="C18" s="16" t="s">
        <v>15</v>
      </c>
      <c r="D18" s="48">
        <f>G72</f>
        <v>327143.45</v>
      </c>
      <c r="E18" s="43">
        <f t="shared" si="14"/>
        <v>5.15</v>
      </c>
      <c r="G18" s="16" t="s">
        <v>18</v>
      </c>
      <c r="H18" s="50">
        <f>-H160</f>
        <v>-952845</v>
      </c>
      <c r="I18" s="50">
        <f t="shared" ref="I18:V18" si="18">-I160</f>
        <v>0</v>
      </c>
      <c r="J18" s="50">
        <f t="shared" si="18"/>
        <v>0</v>
      </c>
      <c r="K18" s="50">
        <f t="shared" si="18"/>
        <v>0</v>
      </c>
      <c r="L18" s="50">
        <f t="shared" si="18"/>
        <v>0</v>
      </c>
      <c r="M18" s="50">
        <f t="shared" si="18"/>
        <v>0</v>
      </c>
      <c r="N18" s="50">
        <f t="shared" si="18"/>
        <v>0</v>
      </c>
      <c r="O18" s="50">
        <f t="shared" si="18"/>
        <v>0</v>
      </c>
      <c r="P18" s="50">
        <f t="shared" si="18"/>
        <v>0</v>
      </c>
      <c r="Q18" s="50">
        <f t="shared" si="18"/>
        <v>0</v>
      </c>
      <c r="R18" s="50">
        <f t="shared" si="18"/>
        <v>0</v>
      </c>
      <c r="S18" s="50">
        <f t="shared" si="18"/>
        <v>0</v>
      </c>
      <c r="T18" s="50">
        <f t="shared" si="18"/>
        <v>0</v>
      </c>
      <c r="U18" s="50">
        <f t="shared" si="18"/>
        <v>0</v>
      </c>
      <c r="V18" s="51">
        <f t="shared" si="18"/>
        <v>0</v>
      </c>
    </row>
    <row r="19" spans="3:22" x14ac:dyDescent="0.25">
      <c r="C19" s="16" t="s">
        <v>17</v>
      </c>
      <c r="D19" s="48">
        <f>G73</f>
        <v>552586.680676639</v>
      </c>
      <c r="E19" s="43">
        <f t="shared" si="14"/>
        <v>8.699001632111818</v>
      </c>
      <c r="G19" s="16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31"/>
    </row>
    <row r="20" spans="3:22" x14ac:dyDescent="0.25">
      <c r="C20" s="52" t="s">
        <v>20</v>
      </c>
      <c r="D20" s="53">
        <f>SUM(D16:D19)</f>
        <v>14312814.85941134</v>
      </c>
      <c r="E20" s="54">
        <f t="shared" si="14"/>
        <v>225.3170483039425</v>
      </c>
      <c r="G20" s="44" t="s">
        <v>21</v>
      </c>
      <c r="H20" s="55">
        <f>+SUM(H13:H18)</f>
        <v>-1944068.7703008829</v>
      </c>
      <c r="I20" s="45">
        <f t="shared" ref="I20:Q20" si="19">+SUM(I13:I18)</f>
        <v>1138807.9201943201</v>
      </c>
      <c r="J20" s="45">
        <f t="shared" si="19"/>
        <v>1184588.5660941</v>
      </c>
      <c r="K20" s="45">
        <f t="shared" si="19"/>
        <v>1232207.2877026352</v>
      </c>
      <c r="L20" s="45">
        <f t="shared" si="19"/>
        <v>1281737.8135444443</v>
      </c>
      <c r="M20" s="45">
        <f t="shared" si="19"/>
        <v>1333256.8274499415</v>
      </c>
      <c r="N20" s="45">
        <f t="shared" si="19"/>
        <v>1386844.086952565</v>
      </c>
      <c r="O20" s="45">
        <f t="shared" si="19"/>
        <v>1155459.8016648872</v>
      </c>
      <c r="P20" s="45">
        <f t="shared" si="19"/>
        <v>454020.14875216666</v>
      </c>
      <c r="Q20" s="45">
        <f t="shared" si="19"/>
        <v>1427760.8213679718</v>
      </c>
      <c r="R20" s="45">
        <f t="shared" ref="R20:V20" si="20">+SUM(R13:R18)</f>
        <v>1485160.4946851556</v>
      </c>
      <c r="S20" s="45">
        <f t="shared" si="20"/>
        <v>1544864.8321488928</v>
      </c>
      <c r="T20" s="45">
        <f t="shared" si="20"/>
        <v>1606966.280641482</v>
      </c>
      <c r="U20" s="45">
        <f t="shared" si="20"/>
        <v>1671560.992729966</v>
      </c>
      <c r="V20" s="46">
        <f t="shared" si="20"/>
        <v>579802.1478984207</v>
      </c>
    </row>
    <row r="21" spans="7:22" x14ac:dyDescent="0.25">
      <c r="G21" s="16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31"/>
    </row>
    <row r="22" spans="3:22" x14ac:dyDescent="0.25">
      <c r="C22" s="37" t="str">
        <f>UPPER("Loan Assumptions")</f>
        <v>LOAN ASSUMPTIONS</v>
      </c>
      <c r="D22" s="38"/>
      <c r="E22" s="39"/>
      <c r="G22" s="16" t="s">
        <v>22</v>
      </c>
      <c r="H22" s="50">
        <f t="shared" ref="H22:V22" si="21">SUM(H160)*$E$26+SUM(H157:H158)*$E$29</f>
        <v>527838.0784059834</v>
      </c>
      <c r="I22" s="50">
        <f t="shared" si="21"/>
        <v>0</v>
      </c>
      <c r="J22" s="50">
        <f t="shared" si="21"/>
        <v>0</v>
      </c>
      <c r="K22" s="50">
        <f t="shared" si="21"/>
        <v>0</v>
      </c>
      <c r="L22" s="50">
        <f t="shared" si="21"/>
        <v>0</v>
      </c>
      <c r="M22" s="50">
        <f t="shared" si="21"/>
        <v>0</v>
      </c>
      <c r="N22" s="50">
        <f t="shared" si="21"/>
        <v>0</v>
      </c>
      <c r="O22" s="50">
        <f t="shared" si="21"/>
        <v>0</v>
      </c>
      <c r="P22" s="50">
        <f t="shared" si="21"/>
        <v>463592.90979208023</v>
      </c>
      <c r="Q22" s="50">
        <f t="shared" si="21"/>
        <v>0</v>
      </c>
      <c r="R22" s="50">
        <f t="shared" si="21"/>
        <v>0</v>
      </c>
      <c r="S22" s="50">
        <f t="shared" si="21"/>
        <v>0</v>
      </c>
      <c r="T22" s="50">
        <f t="shared" si="21"/>
        <v>0</v>
      </c>
      <c r="U22" s="50">
        <f t="shared" si="21"/>
        <v>0</v>
      </c>
      <c r="V22" s="51">
        <f t="shared" si="21"/>
        <v>0</v>
      </c>
    </row>
    <row r="23" spans="3:22" x14ac:dyDescent="0.25">
      <c r="C23" s="16" t="s">
        <v>23</v>
      </c>
      <c r="D23" s="56">
        <f>+D16*E23</f>
        <v>7488143.837240821</v>
      </c>
      <c r="E23" s="57">
        <v>0.6</v>
      </c>
      <c r="G23" s="16" t="s">
        <v>24</v>
      </c>
      <c r="H23" s="50">
        <f>-(H176+H204+H183)</f>
        <v>-590070.9232829794</v>
      </c>
      <c r="I23" s="50">
        <f t="shared" ref="I23:V23" si="22">-(I176+I204+I183)</f>
        <v>-590070.9232829794</v>
      </c>
      <c r="J23" s="50">
        <f t="shared" si="22"/>
        <v>-590070.9232829794</v>
      </c>
      <c r="K23" s="50">
        <f t="shared" si="22"/>
        <v>-590070.9232829794</v>
      </c>
      <c r="L23" s="50">
        <f t="shared" si="22"/>
        <v>-590070.9232829794</v>
      </c>
      <c r="M23" s="50">
        <f t="shared" si="22"/>
        <v>-590070.9232829794</v>
      </c>
      <c r="N23" s="50">
        <f t="shared" si="22"/>
        <v>-590070.9232829794</v>
      </c>
      <c r="O23" s="50">
        <f t="shared" si="22"/>
        <v>-590070.9232829794</v>
      </c>
      <c r="P23" s="50">
        <f t="shared" si="22"/>
        <v>-624196.835639954</v>
      </c>
      <c r="Q23" s="50">
        <f t="shared" si="22"/>
        <v>-624196.835639954</v>
      </c>
      <c r="R23" s="50">
        <f t="shared" si="22"/>
        <v>-624196.835639954</v>
      </c>
      <c r="S23" s="50">
        <f t="shared" si="22"/>
        <v>-624196.835639954</v>
      </c>
      <c r="T23" s="50">
        <f t="shared" si="22"/>
        <v>-624196.835639954</v>
      </c>
      <c r="U23" s="50">
        <f t="shared" si="22"/>
        <v>-624196.835639954</v>
      </c>
      <c r="V23" s="51">
        <f t="shared" si="22"/>
        <v>-624196.835639954</v>
      </c>
    </row>
    <row r="24" spans="3:22" x14ac:dyDescent="0.25">
      <c r="C24" s="16" t="s">
        <v>25</v>
      </c>
      <c r="D24" s="58">
        <f>J228</f>
        <v>0.07361180819672133</v>
      </c>
      <c r="E24" s="59" t="s">
        <v>26</v>
      </c>
      <c r="G24" s="16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31"/>
    </row>
    <row r="25" spans="3:22" x14ac:dyDescent="0.25">
      <c r="C25" s="32" t="s">
        <v>27</v>
      </c>
      <c r="D25" s="60">
        <v>99999</v>
      </c>
      <c r="E25" s="61"/>
      <c r="G25" s="44" t="s">
        <v>28</v>
      </c>
      <c r="H25" s="55">
        <f>SUM(H20:H23)</f>
        <v>-2006301.615177879</v>
      </c>
      <c r="I25" s="45">
        <f t="shared" ref="I25:V25" si="23">SUM(I20:I23)</f>
        <v>548736.9969113407</v>
      </c>
      <c r="J25" s="45">
        <f t="shared" si="23"/>
        <v>594517.6428111206</v>
      </c>
      <c r="K25" s="45">
        <f t="shared" si="23"/>
        <v>642136.3644196558</v>
      </c>
      <c r="L25" s="45">
        <f t="shared" si="23"/>
        <v>691666.8902614649</v>
      </c>
      <c r="M25" s="45">
        <f t="shared" si="23"/>
        <v>743185.9041669621</v>
      </c>
      <c r="N25" s="45">
        <f t="shared" si="23"/>
        <v>796773.1636695856</v>
      </c>
      <c r="O25" s="45">
        <f t="shared" si="23"/>
        <v>565388.8783819078</v>
      </c>
      <c r="P25" s="45">
        <f t="shared" si="23"/>
        <v>293416.222904293</v>
      </c>
      <c r="Q25" s="45">
        <f t="shared" si="23"/>
        <v>803563.9857280179</v>
      </c>
      <c r="R25" s="45">
        <f t="shared" si="23"/>
        <v>860963.6590452016</v>
      </c>
      <c r="S25" s="45">
        <f t="shared" si="23"/>
        <v>920667.9965089388</v>
      </c>
      <c r="T25" s="45">
        <f t="shared" si="23"/>
        <v>982769.445001528</v>
      </c>
      <c r="U25" s="45">
        <f t="shared" si="23"/>
        <v>1047364.1570900121</v>
      </c>
      <c r="V25" s="46">
        <f t="shared" si="23"/>
        <v>-44394.68774153327</v>
      </c>
    </row>
    <row r="26" spans="3:22" x14ac:dyDescent="0.25">
      <c r="C26" s="16" t="str">
        <f>"CapEx Funding (Yrs 1-"&amp;D34&amp;")"</f>
        <v>CapEx Funding (Yrs 1-5)</v>
      </c>
      <c r="D26" s="56">
        <f>+D17*E26</f>
        <v>0</v>
      </c>
      <c r="E26" s="57">
        <v>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</row>
    <row r="27" spans="3:22" x14ac:dyDescent="0.25">
      <c r="C27" s="16" t="s">
        <v>25</v>
      </c>
      <c r="D27" s="58">
        <f>J228</f>
        <v>0.07361180819672133</v>
      </c>
      <c r="E27" s="59" t="s">
        <v>26</v>
      </c>
      <c r="G27" s="8" t="s">
        <v>29</v>
      </c>
      <c r="H27" s="27">
        <f t="shared" ref="H27:M27" si="24">H68/H76</f>
        <v>-0.006658038656985969</v>
      </c>
      <c r="I27" s="27">
        <f t="shared" si="24"/>
        <v>0.0807313060005475</v>
      </c>
      <c r="J27" s="27">
        <f t="shared" si="24"/>
        <v>0.08396485410641487</v>
      </c>
      <c r="K27" s="27">
        <f t="shared" si="24"/>
        <v>0.08732787301249256</v>
      </c>
      <c r="L27" s="27">
        <f t="shared" si="24"/>
        <v>0.09082554541706726</v>
      </c>
      <c r="M27" s="27">
        <f t="shared" si="24"/>
        <v>0.09446326144234753</v>
      </c>
      <c r="N27" s="27">
        <f t="shared" ref="N27:V27" si="25">N68/N76</f>
        <v>0.09824662693489657</v>
      </c>
      <c r="O27" s="27">
        <f t="shared" si="25"/>
        <v>0.08212093560814364</v>
      </c>
      <c r="P27" s="27">
        <f t="shared" si="25"/>
        <v>0.08713831729158025</v>
      </c>
      <c r="Q27" s="27">
        <f t="shared" si="25"/>
        <v>0.10123068228533214</v>
      </c>
      <c r="R27" s="27">
        <f t="shared" si="25"/>
        <v>0.1052853514510721</v>
      </c>
      <c r="S27" s="27">
        <f t="shared" si="25"/>
        <v>0.10950237063967093</v>
      </c>
      <c r="T27" s="27">
        <f t="shared" si="25"/>
        <v>0.11388823874973127</v>
      </c>
      <c r="U27" s="27">
        <f t="shared" si="25"/>
        <v>0.11844971478272769</v>
      </c>
      <c r="V27" s="28">
        <f t="shared" si="25"/>
        <v>0.04106873270072191</v>
      </c>
    </row>
    <row r="28" spans="3:22" x14ac:dyDescent="0.25">
      <c r="C28" s="32" t="s">
        <v>27</v>
      </c>
      <c r="D28" s="60">
        <v>99999</v>
      </c>
      <c r="E28" s="61"/>
      <c r="G28" s="16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31"/>
    </row>
    <row r="29" spans="3:22" x14ac:dyDescent="0.25">
      <c r="C29" s="16" t="str">
        <f>"Leasing Funding (Yrs 1-"&amp;D34&amp;")"</f>
        <v>Leasing Funding (Yrs 1-5)</v>
      </c>
      <c r="D29" s="56">
        <f>SUM(D18:D19)*E29</f>
        <v>527838.0784059834</v>
      </c>
      <c r="E29" s="57">
        <v>0.6</v>
      </c>
      <c r="G29" s="16" t="s">
        <v>30</v>
      </c>
      <c r="H29" s="62">
        <f t="shared" ref="H29:V29" si="26">H20/H76</f>
        <v>-0.13582714437353094</v>
      </c>
      <c r="I29" s="62">
        <f t="shared" si="26"/>
        <v>0.07956561524622119</v>
      </c>
      <c r="J29" s="62">
        <f t="shared" si="26"/>
        <v>0.08276419262945878</v>
      </c>
      <c r="K29" s="62">
        <f t="shared" si="26"/>
        <v>0.08609119169122778</v>
      </c>
      <c r="L29" s="62">
        <f t="shared" si="26"/>
        <v>0.08955176365616455</v>
      </c>
      <c r="M29" s="62">
        <f t="shared" si="26"/>
        <v>0.09315126622861773</v>
      </c>
      <c r="N29" s="62">
        <f t="shared" si="26"/>
        <v>0.09689527186475487</v>
      </c>
      <c r="O29" s="62">
        <f t="shared" si="26"/>
        <v>0.08072903988589769</v>
      </c>
      <c r="P29" s="62">
        <f t="shared" si="26"/>
        <v>0.031721233957946945</v>
      </c>
      <c r="Q29" s="62">
        <f t="shared" si="26"/>
        <v>0.0997540201136014</v>
      </c>
      <c r="R29" s="62">
        <f t="shared" si="26"/>
        <v>0.10376438941418946</v>
      </c>
      <c r="S29" s="62">
        <f t="shared" si="26"/>
        <v>0.10793577974168181</v>
      </c>
      <c r="T29" s="62">
        <f t="shared" si="26"/>
        <v>0.11227465012480246</v>
      </c>
      <c r="U29" s="62">
        <f t="shared" si="26"/>
        <v>0.11678771849905102</v>
      </c>
      <c r="V29" s="63">
        <f t="shared" si="26"/>
        <v>0.04050930257909218</v>
      </c>
    </row>
    <row r="30" spans="3:22" x14ac:dyDescent="0.25">
      <c r="C30" s="16" t="s">
        <v>25</v>
      </c>
      <c r="D30" s="58">
        <f>J228</f>
        <v>0.07361180819672133</v>
      </c>
      <c r="E30" s="59" t="s">
        <v>26</v>
      </c>
      <c r="G30" s="16" t="s">
        <v>31</v>
      </c>
      <c r="H30" s="62">
        <f t="shared" ref="H30:V30" si="27">H25/H79</f>
        <v>-0.3504379877202566</v>
      </c>
      <c r="I30" s="62">
        <f t="shared" si="27"/>
        <v>0.09584714856954232</v>
      </c>
      <c r="J30" s="62">
        <f t="shared" si="27"/>
        <v>0.10384359202763627</v>
      </c>
      <c r="K30" s="62">
        <f t="shared" si="27"/>
        <v>0.1121610896820588</v>
      </c>
      <c r="L30" s="62">
        <f t="shared" si="27"/>
        <v>0.1208125195944007</v>
      </c>
      <c r="M30" s="62">
        <f t="shared" si="27"/>
        <v>0.12981127602553366</v>
      </c>
      <c r="N30" s="62">
        <f t="shared" si="27"/>
        <v>0.1391712901158765</v>
      </c>
      <c r="O30" s="62">
        <f t="shared" si="27"/>
        <v>0.09875571016873357</v>
      </c>
      <c r="P30" s="62">
        <f t="shared" si="27"/>
        <v>0.051250614534316806</v>
      </c>
      <c r="Q30" s="62">
        <f t="shared" si="27"/>
        <v>0.14035743381387294</v>
      </c>
      <c r="R30" s="62">
        <f t="shared" si="27"/>
        <v>0.1503833570653431</v>
      </c>
      <c r="S30" s="62">
        <f t="shared" si="27"/>
        <v>0.16081183288407394</v>
      </c>
      <c r="T30" s="62">
        <f t="shared" si="27"/>
        <v>0.1716590088418756</v>
      </c>
      <c r="U30" s="62">
        <f t="shared" si="27"/>
        <v>0.18294167977749698</v>
      </c>
      <c r="V30" s="63">
        <f t="shared" si="27"/>
        <v>-0.007754360022400084</v>
      </c>
    </row>
    <row r="31" spans="3:26" x14ac:dyDescent="0.25">
      <c r="C31" s="32" t="s">
        <v>27</v>
      </c>
      <c r="D31" s="60">
        <v>99999</v>
      </c>
      <c r="E31" s="61"/>
      <c r="G31" s="16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31"/>
      <c r="Z31" s="56"/>
    </row>
    <row r="32" spans="7:22" x14ac:dyDescent="0.25">
      <c r="G32" s="16" t="s">
        <v>32</v>
      </c>
      <c r="H32" s="64">
        <f t="shared" ref="H32:V32" si="28">H68/-H23</f>
        <v>-0.16149800111154317</v>
      </c>
      <c r="I32" s="64">
        <f t="shared" si="28"/>
        <v>1.9582260208916995</v>
      </c>
      <c r="J32" s="64">
        <f t="shared" si="28"/>
        <v>2.0366592626464115</v>
      </c>
      <c r="K32" s="64">
        <f t="shared" si="28"/>
        <v>2.118232960098889</v>
      </c>
      <c r="L32" s="64">
        <f t="shared" si="28"/>
        <v>2.2030728252578475</v>
      </c>
      <c r="M32" s="64">
        <f t="shared" si="28"/>
        <v>2.291309601425821</v>
      </c>
      <c r="N32" s="64">
        <f t="shared" si="28"/>
        <v>2.3830792645352354</v>
      </c>
      <c r="O32" s="64">
        <f t="shared" si="28"/>
        <v>1.9919330051064457</v>
      </c>
      <c r="P32" s="64">
        <f t="shared" si="28"/>
        <v>1.998079021461798</v>
      </c>
      <c r="Q32" s="64">
        <f t="shared" si="28"/>
        <v>2.3212165312507205</v>
      </c>
      <c r="R32" s="64">
        <f t="shared" si="28"/>
        <v>2.4141899745170603</v>
      </c>
      <c r="S32" s="64">
        <f t="shared" si="28"/>
        <v>2.5108860989745305</v>
      </c>
      <c r="T32" s="64">
        <f t="shared" si="28"/>
        <v>2.611453924174623</v>
      </c>
      <c r="U32" s="64">
        <f t="shared" si="28"/>
        <v>2.7160484338199407</v>
      </c>
      <c r="V32" s="65">
        <f t="shared" si="28"/>
        <v>0.9417048182460541</v>
      </c>
    </row>
    <row r="33" spans="3:22" x14ac:dyDescent="0.25">
      <c r="C33" s="37" t="str">
        <f>UPPER("Sale Assumptions")</f>
        <v>SALE ASSUMPTIONS</v>
      </c>
      <c r="D33" s="38"/>
      <c r="E33" s="39"/>
      <c r="G33" s="16" t="s">
        <v>33</v>
      </c>
      <c r="H33" s="64">
        <f>H20/-H23</f>
        <v>-3.294635769348982</v>
      </c>
      <c r="I33" s="64">
        <f t="shared" ref="I33:V33" si="29">I20/-I23</f>
        <v>1.9299509182020544</v>
      </c>
      <c r="J33" s="64">
        <f t="shared" si="29"/>
        <v>2.0075359068760767</v>
      </c>
      <c r="K33" s="64">
        <f t="shared" si="29"/>
        <v>2.0882359036554448</v>
      </c>
      <c r="L33" s="64">
        <f t="shared" si="29"/>
        <v>2.172175857121099</v>
      </c>
      <c r="M33" s="64">
        <f t="shared" si="29"/>
        <v>2.2594857242449713</v>
      </c>
      <c r="N33" s="64">
        <f t="shared" si="29"/>
        <v>2.35030067103896</v>
      </c>
      <c r="O33" s="64">
        <f t="shared" si="29"/>
        <v>1.9581710538052814</v>
      </c>
      <c r="P33" s="64">
        <f t="shared" si="29"/>
        <v>0.72736695034137</v>
      </c>
      <c r="Q33" s="64">
        <f t="shared" si="29"/>
        <v>2.287356711611921</v>
      </c>
      <c r="R33" s="64">
        <f t="shared" si="29"/>
        <v>2.3793143602890967</v>
      </c>
      <c r="S33" s="64">
        <f t="shared" si="29"/>
        <v>2.4749642163197283</v>
      </c>
      <c r="T33" s="64">
        <f t="shared" si="29"/>
        <v>2.574454385040177</v>
      </c>
      <c r="U33" s="64">
        <f t="shared" si="29"/>
        <v>2.677938908511461</v>
      </c>
      <c r="V33" s="65">
        <f t="shared" si="29"/>
        <v>0.9288771022108469</v>
      </c>
    </row>
    <row r="34" spans="3:22" x14ac:dyDescent="0.25">
      <c r="C34" s="66" t="s">
        <v>34</v>
      </c>
      <c r="D34" s="67">
        <v>5</v>
      </c>
      <c r="E34" s="68">
        <f>INDEX(H5:V5,,MATCH(D34,H4:V4,0))</f>
        <v>48091</v>
      </c>
      <c r="G34" s="32" t="s">
        <v>35</v>
      </c>
      <c r="H34" s="69">
        <f t="shared" ref="H34:V34" si="30">H224</f>
        <v>-0.012726154397610722</v>
      </c>
      <c r="I34" s="69">
        <f t="shared" si="30"/>
        <v>0.15430956739875978</v>
      </c>
      <c r="J34" s="69">
        <f t="shared" si="30"/>
        <v>0.16049016119933684</v>
      </c>
      <c r="K34" s="69">
        <f t="shared" si="30"/>
        <v>0.16691822508507628</v>
      </c>
      <c r="L34" s="69">
        <f t="shared" si="30"/>
        <v>0.17360366524937687</v>
      </c>
      <c r="M34" s="69">
        <f t="shared" si="30"/>
        <v>0.18055678435507705</v>
      </c>
      <c r="N34" s="69">
        <f t="shared" si="30"/>
        <v>0.18778829739987626</v>
      </c>
      <c r="O34" s="69">
        <f t="shared" si="30"/>
        <v>0.15696570111213257</v>
      </c>
      <c r="P34" s="69">
        <f t="shared" si="30"/>
        <v>0.1665559088692115</v>
      </c>
      <c r="Q34" s="69">
        <f t="shared" si="30"/>
        <v>0.19349201152307582</v>
      </c>
      <c r="R34" s="69">
        <f t="shared" si="30"/>
        <v>0.20124209356567502</v>
      </c>
      <c r="S34" s="69">
        <f t="shared" si="30"/>
        <v>0.20930249093742745</v>
      </c>
      <c r="T34" s="69">
        <f t="shared" si="30"/>
        <v>0.21768562561292543</v>
      </c>
      <c r="U34" s="69">
        <f t="shared" si="30"/>
        <v>0.22640441672658224</v>
      </c>
      <c r="V34" s="70">
        <f t="shared" si="30"/>
        <v>0.07849864805383562</v>
      </c>
    </row>
    <row r="35" spans="3:5" x14ac:dyDescent="0.25">
      <c r="C35" s="71" t="s">
        <v>36</v>
      </c>
      <c r="D35" s="72">
        <v>0.065</v>
      </c>
      <c r="E35" s="73"/>
    </row>
    <row r="36" spans="3:25" x14ac:dyDescent="0.25">
      <c r="C36" s="74" t="s">
        <v>37</v>
      </c>
      <c r="D36" s="75">
        <f>INDEX($H$68:$V$68,,MATCH(D34+1,$H$67:$V$67,0))/D35</f>
        <v>20800541.10831523</v>
      </c>
      <c r="E36" s="43">
        <f>+D36/$D$8</f>
        <v>327.44897294389796</v>
      </c>
      <c r="G36" s="2" t="str">
        <f>UPPER("Return Summary")</f>
        <v>RETURN SUMMARY</v>
      </c>
      <c r="H36" s="76"/>
      <c r="J36" s="77" t="s">
        <v>38</v>
      </c>
      <c r="K36" s="78"/>
      <c r="L36" s="78"/>
      <c r="M36" s="78"/>
      <c r="N36" s="78"/>
      <c r="O36" s="79"/>
      <c r="Q36" s="77" t="s">
        <v>39</v>
      </c>
      <c r="R36" s="78"/>
      <c r="S36" s="78"/>
      <c r="T36" s="78"/>
      <c r="U36" s="78"/>
      <c r="V36" s="79"/>
      <c r="Y36" s="80" t="s">
        <v>40</v>
      </c>
    </row>
    <row r="37" spans="3:26" x14ac:dyDescent="0.25">
      <c r="C37" s="81" t="s">
        <v>41</v>
      </c>
      <c r="D37" s="82">
        <f>-INDEX($H$179:$V$179,,MATCH(D34,$H$151:$V$151,0))</f>
        <v>-7488143.837240821</v>
      </c>
      <c r="E37" s="83">
        <f t="shared" ref="E37:E38" si="31">+D37/$D$8</f>
        <v>-117.88082800309842</v>
      </c>
      <c r="G37" s="16" t="s">
        <v>42</v>
      </c>
      <c r="H37" s="84">
        <f>IRR(G60:V60)</f>
        <v>0.13261211637915316</v>
      </c>
      <c r="J37" s="85" t="str">
        <f>TEXT($H$39,"0.0%")&amp;" / "&amp;TEXT($H$40,"0.0x")</f>
        <v>19.3% / 2.2x</v>
      </c>
      <c r="K37" s="86">
        <f>L37-$Z$37</f>
        <v>0.06</v>
      </c>
      <c r="L37" s="86">
        <f>M37-$Z$37</f>
        <v>0.0625</v>
      </c>
      <c r="M37" s="87">
        <v>0.065</v>
      </c>
      <c r="N37" s="86">
        <f>M37+$Z$37</f>
        <v>0.0675</v>
      </c>
      <c r="O37" s="88">
        <f>N37+$Z$37</f>
        <v>0.07</v>
      </c>
      <c r="Q37" s="85" t="str">
        <f>TEXT($H$39,"0.0%")&amp;" / "&amp;TEXT($H$40,"0.0x")</f>
        <v>19.3% / 2.2x</v>
      </c>
      <c r="R37" s="86">
        <f>S37-$Z$37</f>
        <v>0.06</v>
      </c>
      <c r="S37" s="86">
        <f>T37-$Z$37</f>
        <v>0.0625</v>
      </c>
      <c r="T37" s="87">
        <v>0.065</v>
      </c>
      <c r="U37" s="86">
        <f>T37+$Z$37</f>
        <v>0.0675</v>
      </c>
      <c r="V37" s="88">
        <f>U37+$Z$37</f>
        <v>0.07</v>
      </c>
      <c r="Y37" s="1" t="s">
        <v>43</v>
      </c>
      <c r="Z37" s="89">
        <v>0.0025</v>
      </c>
    </row>
    <row r="38" spans="3:26" x14ac:dyDescent="0.25">
      <c r="C38" s="74" t="s">
        <v>44</v>
      </c>
      <c r="D38" s="75">
        <f>-INDEX($H$200:$V$200,,MATCH(D34,$H$151:$V$151,0))</f>
        <v>0</v>
      </c>
      <c r="E38" s="43">
        <f t="shared" si="31"/>
        <v>0</v>
      </c>
      <c r="G38" s="90" t="s">
        <v>45</v>
      </c>
      <c r="H38" s="91">
        <f>SUMIF(G60:V60,"&gt;0",G60:V60)/-SUMIF(G60:V60,"&lt;0",G60:V60)</f>
        <v>1.7632655630160177</v>
      </c>
      <c r="J38" s="92">
        <v>1</v>
      </c>
      <c r="K38" s="93" t="str">
        <f/>
        <v>87.9% / 1.9x</v>
      </c>
      <c r="L38" s="94" t="s">
        <v>46</v>
      </c>
      <c r="M38" s="94" t="s">
        <v>47</v>
      </c>
      <c r="N38" s="94" t="s">
        <v>48</v>
      </c>
      <c r="O38" s="95" t="s">
        <v>49</v>
      </c>
      <c r="Q38" s="96">
        <f>Q39-$Z$39</f>
        <v>10000000</v>
      </c>
      <c r="R38" s="94" t="str">
        <f/>
        <v>28.9% / 3.1x</v>
      </c>
      <c r="S38" s="94" t="s">
        <v>50</v>
      </c>
      <c r="T38" s="94" t="s">
        <v>51</v>
      </c>
      <c r="U38" s="94" t="s">
        <v>52</v>
      </c>
      <c r="V38" s="95" t="s">
        <v>53</v>
      </c>
      <c r="Y38" s="1" t="s">
        <v>54</v>
      </c>
      <c r="Z38" s="97">
        <v>1</v>
      </c>
    </row>
    <row r="39" spans="3:26" x14ac:dyDescent="0.25">
      <c r="C39" s="74" t="s">
        <v>55</v>
      </c>
      <c r="D39" s="75">
        <f>-INDEX($H$221:$V$221,,MATCH(D34,$H$151:$V$151,0))</f>
        <v>0</v>
      </c>
      <c r="E39" s="43">
        <f t="shared" ref="E39" si="32">+D39/$D$8</f>
        <v>0</v>
      </c>
      <c r="G39" s="16" t="s">
        <v>56</v>
      </c>
      <c r="H39" s="84">
        <f>IRR(G65:V65)</f>
        <v>0.19306892000186382</v>
      </c>
      <c r="J39" s="92">
        <f t="shared" ref="J39:J47" si="33">J38+$Z$38</f>
        <v>2</v>
      </c>
      <c r="K39" s="98" t="s">
        <v>57</v>
      </c>
      <c r="L39" s="98" t="s">
        <v>58</v>
      </c>
      <c r="M39" s="98" t="s">
        <v>59</v>
      </c>
      <c r="N39" s="98" t="s">
        <v>60</v>
      </c>
      <c r="O39" s="99" t="s">
        <v>61</v>
      </c>
      <c r="Q39" s="96">
        <f>Q40-$Z$39</f>
        <v>10500000</v>
      </c>
      <c r="R39" s="98" t="s">
        <v>62</v>
      </c>
      <c r="S39" s="98" t="s">
        <v>63</v>
      </c>
      <c r="T39" s="98" t="s">
        <v>64</v>
      </c>
      <c r="U39" s="98" t="s">
        <v>65</v>
      </c>
      <c r="V39" s="99" t="s">
        <v>66</v>
      </c>
      <c r="Y39" s="1" t="s">
        <v>12</v>
      </c>
      <c r="Z39" s="100">
        <v>500000</v>
      </c>
    </row>
    <row r="40" spans="3:22" x14ac:dyDescent="0.25">
      <c r="C40" s="74" t="s">
        <v>67</v>
      </c>
      <c r="D40" s="75">
        <f>-SUM(H154:V154)</f>
        <v>0</v>
      </c>
      <c r="E40" s="43">
        <f>+D40/$D$8</f>
        <v>0</v>
      </c>
      <c r="F40" s="1" t="s">
        <v>68</v>
      </c>
      <c r="G40" s="32" t="s">
        <v>45</v>
      </c>
      <c r="H40" s="101">
        <f>SUMIF(G65:V65,"&gt;0",G65:V65)/-SUMIF(G65:V65,"&lt;0",G65:V65)</f>
        <v>2.196709222169185</v>
      </c>
      <c r="J40" s="92">
        <f t="shared" si="33"/>
        <v>3</v>
      </c>
      <c r="K40" s="102" t="s">
        <v>69</v>
      </c>
      <c r="L40" s="98" t="s">
        <v>70</v>
      </c>
      <c r="M40" s="98" t="s">
        <v>71</v>
      </c>
      <c r="N40" s="98" t="s">
        <v>72</v>
      </c>
      <c r="O40" s="99" t="s">
        <v>73</v>
      </c>
      <c r="Q40" s="96">
        <f>Q41-$Z$39</f>
        <v>11000000</v>
      </c>
      <c r="R40" s="98" t="s">
        <v>74</v>
      </c>
      <c r="S40" s="98" t="s">
        <v>75</v>
      </c>
      <c r="T40" s="98" t="s">
        <v>76</v>
      </c>
      <c r="U40" s="98" t="s">
        <v>77</v>
      </c>
      <c r="V40" s="99" t="s">
        <v>78</v>
      </c>
    </row>
    <row r="41" ht="20.25" customHeight="1" spans="3:22" x14ac:dyDescent="0.25">
      <c r="C41" s="103">
        <v>0.02</v>
      </c>
      <c r="D41" s="104">
        <f>-C41*D36</f>
        <v>-416010.82216630457</v>
      </c>
      <c r="E41" s="105">
        <f>+D41/$D$8</f>
        <v>-6.548979458877959</v>
      </c>
      <c r="J41" s="92">
        <f t="shared" si="33"/>
        <v>4</v>
      </c>
      <c r="K41" s="102" t="s">
        <v>79</v>
      </c>
      <c r="L41" s="98" t="s">
        <v>80</v>
      </c>
      <c r="M41" s="98" t="s">
        <v>81</v>
      </c>
      <c r="N41" s="98" t="s">
        <v>82</v>
      </c>
      <c r="O41" s="99" t="s">
        <v>83</v>
      </c>
      <c r="Q41" s="96">
        <f>Q42-$Z$39</f>
        <v>11500000</v>
      </c>
      <c r="R41" s="98" t="s">
        <v>84</v>
      </c>
      <c r="S41" s="98" t="s">
        <v>85</v>
      </c>
      <c r="T41" s="98" t="s">
        <v>86</v>
      </c>
      <c r="U41" s="98" t="s">
        <v>87</v>
      </c>
      <c r="V41" s="99" t="s">
        <v>88</v>
      </c>
    </row>
    <row r="42" ht="20.25" customHeight="1" spans="3:22" x14ac:dyDescent="0.25">
      <c r="C42" s="106" t="s">
        <v>89</v>
      </c>
      <c r="D42" s="104">
        <f>SUM(D36:D41)</f>
        <v>12896386.448908104</v>
      </c>
      <c r="E42" s="105">
        <f>+D42/$D$8</f>
        <v>203.01916548192156</v>
      </c>
      <c r="G42" s="37" t="str">
        <f>UPPER("Return Split (Unleveraged)")</f>
        <v>RETURN SPLIT (UNLEVERAGED)</v>
      </c>
      <c r="H42" s="107"/>
      <c r="J42" s="92">
        <f t="shared" si="33"/>
        <v>5</v>
      </c>
      <c r="K42" s="98" t="s">
        <v>66</v>
      </c>
      <c r="L42" s="98" t="s">
        <v>90</v>
      </c>
      <c r="M42" s="108" t="s">
        <v>91</v>
      </c>
      <c r="N42" s="98" t="s">
        <v>92</v>
      </c>
      <c r="O42" s="99" t="s">
        <v>93</v>
      </c>
      <c r="Q42" s="109">
        <v>12000000</v>
      </c>
      <c r="R42" s="98" t="s">
        <v>66</v>
      </c>
      <c r="S42" s="98" t="s">
        <v>90</v>
      </c>
      <c r="T42" s="108" t="s">
        <v>91</v>
      </c>
      <c r="U42" s="98" t="s">
        <v>92</v>
      </c>
      <c r="V42" s="99" t="s">
        <v>93</v>
      </c>
    </row>
    <row r="43" spans="3:22" x14ac:dyDescent="0.25">
      <c r="C43" s="110"/>
      <c r="D43" s="75"/>
      <c r="E43" s="111"/>
      <c r="G43" s="16" t="s">
        <v>94</v>
      </c>
      <c r="H43" s="84">
        <f>Z58/Z60</f>
        <v>0.11513662160103341</v>
      </c>
      <c r="J43" s="92">
        <f t="shared" si="33"/>
        <v>6</v>
      </c>
      <c r="K43" s="98" t="s">
        <v>95</v>
      </c>
      <c r="L43" s="98" t="s">
        <v>96</v>
      </c>
      <c r="M43" s="98" t="s">
        <v>97</v>
      </c>
      <c r="N43" s="98" t="s">
        <v>98</v>
      </c>
      <c r="O43" s="99" t="s">
        <v>99</v>
      </c>
      <c r="Q43" s="96">
        <f>Q42+$Z$39</f>
        <v>12500000</v>
      </c>
      <c r="R43" s="98" t="s">
        <v>100</v>
      </c>
      <c r="S43" s="98" t="s">
        <v>101</v>
      </c>
      <c r="T43" s="98" t="s">
        <v>102</v>
      </c>
      <c r="U43" s="98" t="s">
        <v>103</v>
      </c>
      <c r="V43" s="99" t="s">
        <v>104</v>
      </c>
    </row>
    <row r="44" spans="3:22" x14ac:dyDescent="0.25">
      <c r="C44" s="37" t="str">
        <f>UPPER("Other Assumptions")</f>
        <v>OTHER ASSUMPTIONS</v>
      </c>
      <c r="D44" s="38"/>
      <c r="E44" s="39"/>
      <c r="G44" s="32" t="s">
        <v>105</v>
      </c>
      <c r="H44" s="112">
        <f>Z59/Z60</f>
        <v>0.8848633783989666</v>
      </c>
      <c r="J44" s="92">
        <f t="shared" si="33"/>
        <v>7</v>
      </c>
      <c r="K44" s="98" t="s">
        <v>106</v>
      </c>
      <c r="L44" s="98" t="s">
        <v>107</v>
      </c>
      <c r="M44" s="98" t="s">
        <v>108</v>
      </c>
      <c r="N44" s="98" t="s">
        <v>109</v>
      </c>
      <c r="O44" s="99" t="s">
        <v>110</v>
      </c>
      <c r="Q44" s="96">
        <f>Q43+$Z$39</f>
        <v>13000000</v>
      </c>
      <c r="R44" s="98" t="s">
        <v>111</v>
      </c>
      <c r="S44" s="98" t="s">
        <v>112</v>
      </c>
      <c r="T44" s="98" t="s">
        <v>113</v>
      </c>
      <c r="U44" s="98" t="s">
        <v>114</v>
      </c>
      <c r="V44" s="99" t="s">
        <v>115</v>
      </c>
    </row>
    <row r="45" spans="3:22" x14ac:dyDescent="0.25">
      <c r="C45" s="66" t="s">
        <v>116</v>
      </c>
      <c r="D45" s="67"/>
      <c r="E45" s="113">
        <v>0.03</v>
      </c>
      <c r="J45" s="92">
        <f t="shared" si="33"/>
        <v>8</v>
      </c>
      <c r="K45" s="98" t="s">
        <v>117</v>
      </c>
      <c r="L45" s="98" t="s">
        <v>118</v>
      </c>
      <c r="M45" s="98" t="s">
        <v>119</v>
      </c>
      <c r="N45" s="98" t="s">
        <v>120</v>
      </c>
      <c r="O45" s="99" t="s">
        <v>121</v>
      </c>
      <c r="Q45" s="96">
        <f>Q44+$Z$39</f>
        <v>13500000</v>
      </c>
      <c r="R45" s="98" t="s">
        <v>122</v>
      </c>
      <c r="S45" s="98" t="s">
        <v>123</v>
      </c>
      <c r="T45" s="98" t="s">
        <v>124</v>
      </c>
      <c r="U45" s="98" t="s">
        <v>125</v>
      </c>
      <c r="V45" s="99" t="s">
        <v>126</v>
      </c>
    </row>
    <row r="46" spans="3:22" x14ac:dyDescent="0.25">
      <c r="C46" s="114" t="s">
        <v>127</v>
      </c>
      <c r="D46" s="75"/>
      <c r="E46" s="115">
        <v>0</v>
      </c>
      <c r="G46" s="37" t="str">
        <f>UPPER("Return Split (Leveraged)")</f>
        <v>RETURN SPLIT (LEVERAGED)</v>
      </c>
      <c r="H46" s="107"/>
      <c r="J46" s="92">
        <f t="shared" si="33"/>
        <v>9</v>
      </c>
      <c r="K46" s="98" t="s">
        <v>128</v>
      </c>
      <c r="L46" s="98" t="s">
        <v>129</v>
      </c>
      <c r="M46" s="98" t="s">
        <v>130</v>
      </c>
      <c r="N46" s="98" t="s">
        <v>131</v>
      </c>
      <c r="O46" s="99" t="s">
        <v>132</v>
      </c>
      <c r="Q46" s="96">
        <f>Q45+$Z$39</f>
        <v>14000000</v>
      </c>
      <c r="R46" s="98" t="s">
        <v>133</v>
      </c>
      <c r="S46" s="98" t="s">
        <v>134</v>
      </c>
      <c r="T46" s="98" t="s">
        <v>135</v>
      </c>
      <c r="U46" s="98" t="s">
        <v>136</v>
      </c>
      <c r="V46" s="99" t="s">
        <v>137</v>
      </c>
    </row>
    <row r="47" spans="3:22" x14ac:dyDescent="0.25">
      <c r="C47" s="81" t="s">
        <v>138</v>
      </c>
      <c r="D47" s="116"/>
      <c r="E47" s="113">
        <v>0.03</v>
      </c>
      <c r="G47" s="16" t="s">
        <v>94</v>
      </c>
      <c r="H47" s="84">
        <f>Z63/Z65</f>
        <v>-0.06870405737462547</v>
      </c>
      <c r="J47" s="117">
        <f t="shared" si="33"/>
        <v>10</v>
      </c>
      <c r="K47" s="118" t="s">
        <v>139</v>
      </c>
      <c r="L47" s="118" t="s">
        <v>140</v>
      </c>
      <c r="M47" s="118" t="s">
        <v>141</v>
      </c>
      <c r="N47" s="118" t="s">
        <v>142</v>
      </c>
      <c r="O47" s="119" t="s">
        <v>143</v>
      </c>
      <c r="Q47" s="120">
        <f>Q46+$Z$39</f>
        <v>14500000</v>
      </c>
      <c r="R47" s="118" t="s">
        <v>134</v>
      </c>
      <c r="S47" s="118" t="s">
        <v>135</v>
      </c>
      <c r="T47" s="118" t="s">
        <v>144</v>
      </c>
      <c r="U47" s="118" t="s">
        <v>145</v>
      </c>
      <c r="V47" s="119" t="s">
        <v>146</v>
      </c>
    </row>
    <row r="48" spans="3:10" x14ac:dyDescent="0.25">
      <c r="C48" s="74" t="s">
        <v>147</v>
      </c>
      <c r="E48" s="121">
        <v>0.25</v>
      </c>
      <c r="G48" s="32" t="s">
        <v>105</v>
      </c>
      <c r="H48" s="112">
        <f>Z64/Z65</f>
        <v>1.0687040573746254</v>
      </c>
      <c r="J48" s="122"/>
    </row>
    <row r="49" spans="3:5" x14ac:dyDescent="0.25">
      <c r="C49" s="123" t="s">
        <v>148</v>
      </c>
      <c r="D49" s="116"/>
      <c r="E49" s="124"/>
    </row>
    <row r="50" spans="3:7" x14ac:dyDescent="0.25">
      <c r="C50" s="74" t="s">
        <v>149</v>
      </c>
      <c r="E50" s="125">
        <v>0.03</v>
      </c>
      <c r="G50" s="126" t="s">
        <v>150</v>
      </c>
    </row>
    <row r="51" spans="3:18" x14ac:dyDescent="0.25">
      <c r="C51" s="74" t="s">
        <v>151</v>
      </c>
      <c r="E51" s="57" t="s">
        <v>152</v>
      </c>
      <c r="G51" s="127" t="s">
        <v>153</v>
      </c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</row>
    <row r="52" spans="3:5" x14ac:dyDescent="0.25">
      <c r="C52" s="74" t="s">
        <v>154</v>
      </c>
      <c r="E52" s="125">
        <v>0.03</v>
      </c>
    </row>
    <row r="53" spans="3:5" x14ac:dyDescent="0.25">
      <c r="C53" s="129" t="s">
        <v>155</v>
      </c>
      <c r="D53" s="130"/>
      <c r="E53" s="131">
        <v>0.03</v>
      </c>
    </row>
    <row r="55" spans="3:5" x14ac:dyDescent="0.25">
      <c r="C55" s="110"/>
      <c r="D55" s="75"/>
      <c r="E55" s="111"/>
    </row>
    <row r="56" spans="3:4" x14ac:dyDescent="0.25">
      <c r="C56" s="132" t="s">
        <v>156</v>
      </c>
      <c r="D56" s="133">
        <v>0.04</v>
      </c>
    </row>
    <row r="57" spans="6:27" x14ac:dyDescent="0.25">
      <c r="F57" s="110"/>
      <c r="G57" s="134">
        <v>0</v>
      </c>
      <c r="H57" s="135">
        <v>1</v>
      </c>
      <c r="I57" s="135">
        <v>2</v>
      </c>
      <c r="J57" s="135">
        <v>3</v>
      </c>
      <c r="K57" s="135">
        <v>4</v>
      </c>
      <c r="L57" s="135">
        <v>5</v>
      </c>
      <c r="M57" s="135">
        <v>6</v>
      </c>
      <c r="N57" s="135">
        <v>7</v>
      </c>
      <c r="O57" s="135">
        <v>8</v>
      </c>
      <c r="P57" s="135">
        <v>9</v>
      </c>
      <c r="Q57" s="135">
        <v>10</v>
      </c>
      <c r="R57" s="135">
        <v>11</v>
      </c>
      <c r="S57" s="135">
        <v>12</v>
      </c>
      <c r="T57" s="135">
        <v>13</v>
      </c>
      <c r="U57" s="135">
        <v>14</v>
      </c>
      <c r="V57" s="135">
        <v>15</v>
      </c>
      <c r="W57" s="136"/>
      <c r="Y57" s="137"/>
      <c r="Z57" s="138" t="s">
        <v>157</v>
      </c>
      <c r="AA57" s="139"/>
    </row>
    <row r="58" spans="3:27" x14ac:dyDescent="0.25">
      <c r="C58" s="140" t="s">
        <v>158</v>
      </c>
      <c r="D58" s="141">
        <f>SUM(D23,D26,D29)*C14</f>
        <v>120239.72873470206</v>
      </c>
      <c r="F58" s="142" t="s">
        <v>159</v>
      </c>
      <c r="G58" s="143"/>
      <c r="H58" s="143">
        <f t="shared" ref="H58:V58" si="34">IF($D$34&gt;=H57,H20,0)</f>
        <v>-1944068.7703008829</v>
      </c>
      <c r="I58" s="143">
        <f t="shared" si="34"/>
        <v>1138807.9201943201</v>
      </c>
      <c r="J58" s="143">
        <f t="shared" si="34"/>
        <v>1184588.5660941</v>
      </c>
      <c r="K58" s="143">
        <f t="shared" si="34"/>
        <v>1232207.2877026352</v>
      </c>
      <c r="L58" s="143">
        <f t="shared" si="34"/>
        <v>1281737.8135444443</v>
      </c>
      <c r="M58" s="143">
        <f t="shared" si="34"/>
        <v>0</v>
      </c>
      <c r="N58" s="143">
        <f t="shared" si="34"/>
        <v>0</v>
      </c>
      <c r="O58" s="143">
        <f t="shared" si="34"/>
        <v>0</v>
      </c>
      <c r="P58" s="143">
        <f t="shared" si="34"/>
        <v>0</v>
      </c>
      <c r="Q58" s="143">
        <f t="shared" si="34"/>
        <v>0</v>
      </c>
      <c r="R58" s="143">
        <f t="shared" si="34"/>
        <v>0</v>
      </c>
      <c r="S58" s="143">
        <f t="shared" si="34"/>
        <v>0</v>
      </c>
      <c r="T58" s="143">
        <f t="shared" si="34"/>
        <v>0</v>
      </c>
      <c r="U58" s="143">
        <f t="shared" si="34"/>
        <v>0</v>
      </c>
      <c r="V58" s="144">
        <f t="shared" si="34"/>
        <v>0</v>
      </c>
      <c r="W58" s="136"/>
      <c r="Y58" s="71" t="s">
        <v>160</v>
      </c>
      <c r="Z58" s="145">
        <f>+NPV($H$37,G58:V58)</f>
        <v>1423088.6429887728</v>
      </c>
      <c r="AA58" s="146">
        <f>Z58/$Z$60</f>
        <v>0.11513662160103341</v>
      </c>
    </row>
    <row r="59" spans="3:27" x14ac:dyDescent="0.25">
      <c r="C59" s="147" t="b">
        <f>ROUND(D59,2)=ROUND(D58,2)</f>
        <v>1</v>
      </c>
      <c r="D59" s="148">
        <f>D58</f>
        <v>120239.72873470206</v>
      </c>
      <c r="F59" s="71" t="s">
        <v>161</v>
      </c>
      <c r="G59" s="149"/>
      <c r="H59" s="149">
        <f t="shared" ref="H59:V59" si="35">IF(H57=$D$34,$D$36+$D$40+$D$41,0)</f>
        <v>0</v>
      </c>
      <c r="I59" s="149">
        <f t="shared" si="35"/>
        <v>0</v>
      </c>
      <c r="J59" s="149">
        <f t="shared" si="35"/>
        <v>0</v>
      </c>
      <c r="K59" s="149">
        <f t="shared" si="35"/>
        <v>0</v>
      </c>
      <c r="L59" s="149">
        <f t="shared" si="35"/>
        <v>20384530.286148924</v>
      </c>
      <c r="M59" s="149">
        <f t="shared" si="35"/>
        <v>0</v>
      </c>
      <c r="N59" s="149">
        <f t="shared" si="35"/>
        <v>0</v>
      </c>
      <c r="O59" s="149">
        <f t="shared" si="35"/>
        <v>0</v>
      </c>
      <c r="P59" s="149">
        <f t="shared" si="35"/>
        <v>0</v>
      </c>
      <c r="Q59" s="149">
        <f t="shared" si="35"/>
        <v>0</v>
      </c>
      <c r="R59" s="149">
        <f t="shared" si="35"/>
        <v>0</v>
      </c>
      <c r="S59" s="149">
        <f t="shared" si="35"/>
        <v>0</v>
      </c>
      <c r="T59" s="149">
        <f t="shared" si="35"/>
        <v>0</v>
      </c>
      <c r="U59" s="149">
        <f t="shared" si="35"/>
        <v>0</v>
      </c>
      <c r="V59" s="150">
        <f t="shared" si="35"/>
        <v>0</v>
      </c>
      <c r="W59" s="136"/>
      <c r="Y59" s="71" t="s">
        <v>105</v>
      </c>
      <c r="Z59" s="145">
        <f>NPV($H$37,G59:V59)</f>
        <v>10936911.357011225</v>
      </c>
      <c r="AA59" s="146">
        <f>Z59/$Z$60</f>
        <v>0.8848633783989666</v>
      </c>
    </row>
    <row r="60" spans="6:27" x14ac:dyDescent="0.25">
      <c r="F60" s="151" t="s">
        <v>162</v>
      </c>
      <c r="G60" s="152">
        <f>-($D$16-$D$14)</f>
        <v>-12360000</v>
      </c>
      <c r="H60" s="152">
        <f t="shared" ref="H60:V60" si="36">IF($D$34&gt;=H57,H58+H59,0)</f>
        <v>-1944068.7703008829</v>
      </c>
      <c r="I60" s="152">
        <f t="shared" si="36"/>
        <v>1138807.9201943201</v>
      </c>
      <c r="J60" s="152">
        <f t="shared" si="36"/>
        <v>1184588.5660941</v>
      </c>
      <c r="K60" s="152">
        <f t="shared" si="36"/>
        <v>1232207.2877026352</v>
      </c>
      <c r="L60" s="152">
        <f t="shared" si="36"/>
        <v>21666268.09969337</v>
      </c>
      <c r="M60" s="152">
        <f t="shared" si="36"/>
        <v>0</v>
      </c>
      <c r="N60" s="152">
        <f t="shared" si="36"/>
        <v>0</v>
      </c>
      <c r="O60" s="152">
        <f t="shared" si="36"/>
        <v>0</v>
      </c>
      <c r="P60" s="152">
        <f t="shared" si="36"/>
        <v>0</v>
      </c>
      <c r="Q60" s="152">
        <f t="shared" si="36"/>
        <v>0</v>
      </c>
      <c r="R60" s="152">
        <f t="shared" si="36"/>
        <v>0</v>
      </c>
      <c r="S60" s="152">
        <f t="shared" si="36"/>
        <v>0</v>
      </c>
      <c r="T60" s="152">
        <f t="shared" si="36"/>
        <v>0</v>
      </c>
      <c r="U60" s="152">
        <f t="shared" si="36"/>
        <v>0</v>
      </c>
      <c r="V60" s="153">
        <f t="shared" si="36"/>
        <v>0</v>
      </c>
      <c r="W60" s="136"/>
      <c r="Y60" s="71" t="s">
        <v>163</v>
      </c>
      <c r="Z60" s="145">
        <f>SUM(Z58:Z59)</f>
        <v>12359999.999999998</v>
      </c>
      <c r="AA60" s="150">
        <f>+NPV($H$37,H60:V60)</f>
        <v>12360000</v>
      </c>
    </row>
    <row r="61" spans="3:27" x14ac:dyDescent="0.25">
      <c r="C61" s="140" t="s">
        <v>164</v>
      </c>
      <c r="D61" s="154"/>
      <c r="R61" s="155"/>
      <c r="S61" s="155"/>
      <c r="W61" s="136"/>
      <c r="Y61" s="156"/>
      <c r="Z61" s="145"/>
      <c r="AA61" s="157"/>
    </row>
    <row r="62" spans="3:27" x14ac:dyDescent="0.25">
      <c r="C62" s="158" t="b">
        <f>D62=0</f>
        <v>1</v>
      </c>
      <c r="D62" s="159">
        <f>SUM(H166:V166)</f>
        <v>0</v>
      </c>
      <c r="F62" s="110"/>
      <c r="G62" s="134">
        <v>0</v>
      </c>
      <c r="H62" s="135">
        <f t="shared" ref="H62:Q62" si="37">+G62+1</f>
        <v>1</v>
      </c>
      <c r="I62" s="135">
        <f>+H62+1</f>
        <v>2</v>
      </c>
      <c r="J62" s="135">
        <f t="shared" si="37"/>
        <v>3</v>
      </c>
      <c r="K62" s="135">
        <f t="shared" si="37"/>
        <v>4</v>
      </c>
      <c r="L62" s="135">
        <f t="shared" si="37"/>
        <v>5</v>
      </c>
      <c r="M62" s="135">
        <f t="shared" si="37"/>
        <v>6</v>
      </c>
      <c r="N62" s="135">
        <f t="shared" si="37"/>
        <v>7</v>
      </c>
      <c r="O62" s="135">
        <f t="shared" si="37"/>
        <v>8</v>
      </c>
      <c r="P62" s="135">
        <f t="shared" si="37"/>
        <v>9</v>
      </c>
      <c r="Q62" s="135">
        <f t="shared" si="37"/>
        <v>10</v>
      </c>
      <c r="R62" s="135">
        <f t="shared" ref="R62" si="38">+Q62+1</f>
        <v>11</v>
      </c>
      <c r="S62" s="135">
        <f t="shared" ref="S62" si="39">+R62+1</f>
        <v>12</v>
      </c>
      <c r="T62" s="135">
        <f t="shared" ref="T62" si="40">+S62+1</f>
        <v>13</v>
      </c>
      <c r="U62" s="135">
        <f t="shared" ref="U62" si="41">+T62+1</f>
        <v>14</v>
      </c>
      <c r="V62" s="135">
        <f t="shared" ref="V62" si="42">+U62+1</f>
        <v>15</v>
      </c>
      <c r="W62" s="136"/>
      <c r="Y62" s="16"/>
      <c r="AA62" s="160"/>
    </row>
    <row r="63" spans="6:27" x14ac:dyDescent="0.25">
      <c r="F63" s="142" t="s">
        <v>165</v>
      </c>
      <c r="G63" s="143"/>
      <c r="H63" s="143">
        <f t="shared" ref="H63:V63" si="43">IF($D$34&gt;=H62,H25,0)</f>
        <v>-2006301.615177879</v>
      </c>
      <c r="I63" s="143">
        <f t="shared" si="43"/>
        <v>548736.9969113407</v>
      </c>
      <c r="J63" s="143">
        <f t="shared" si="43"/>
        <v>594517.6428111206</v>
      </c>
      <c r="K63" s="143">
        <f t="shared" si="43"/>
        <v>642136.3644196558</v>
      </c>
      <c r="L63" s="143">
        <f t="shared" si="43"/>
        <v>691666.8902614649</v>
      </c>
      <c r="M63" s="143">
        <f t="shared" si="43"/>
        <v>0</v>
      </c>
      <c r="N63" s="143">
        <f t="shared" si="43"/>
        <v>0</v>
      </c>
      <c r="O63" s="143">
        <f t="shared" si="43"/>
        <v>0</v>
      </c>
      <c r="P63" s="143">
        <f t="shared" si="43"/>
        <v>0</v>
      </c>
      <c r="Q63" s="143">
        <f t="shared" si="43"/>
        <v>0</v>
      </c>
      <c r="R63" s="143">
        <f t="shared" si="43"/>
        <v>0</v>
      </c>
      <c r="S63" s="143">
        <f t="shared" si="43"/>
        <v>0</v>
      </c>
      <c r="T63" s="143">
        <f t="shared" si="43"/>
        <v>0</v>
      </c>
      <c r="U63" s="143">
        <f t="shared" si="43"/>
        <v>0</v>
      </c>
      <c r="V63" s="144">
        <f t="shared" si="43"/>
        <v>0</v>
      </c>
      <c r="W63" s="136"/>
      <c r="Y63" s="71" t="s">
        <v>160</v>
      </c>
      <c r="Z63" s="145">
        <f>+NPV($H$39,G63:V63)</f>
        <v>-342977.24254882743</v>
      </c>
      <c r="AA63" s="146">
        <f>Z63/$Z$65</f>
        <v>-0.06870405737462547</v>
      </c>
    </row>
    <row r="64" spans="6:27" x14ac:dyDescent="0.25">
      <c r="F64" s="71" t="s">
        <v>166</v>
      </c>
      <c r="G64" s="149"/>
      <c r="H64" s="149">
        <f t="shared" ref="H64:V64" si="44">IF(H62=$D$34,$D$42,0)</f>
        <v>0</v>
      </c>
      <c r="I64" s="149">
        <f t="shared" si="44"/>
        <v>0</v>
      </c>
      <c r="J64" s="149">
        <f t="shared" si="44"/>
        <v>0</v>
      </c>
      <c r="K64" s="149">
        <f t="shared" si="44"/>
        <v>0</v>
      </c>
      <c r="L64" s="149">
        <f t="shared" si="44"/>
        <v>12896386.448908104</v>
      </c>
      <c r="M64" s="149">
        <f t="shared" si="44"/>
        <v>0</v>
      </c>
      <c r="N64" s="149">
        <f t="shared" si="44"/>
        <v>0</v>
      </c>
      <c r="O64" s="149">
        <f t="shared" si="44"/>
        <v>0</v>
      </c>
      <c r="P64" s="149">
        <f t="shared" si="44"/>
        <v>0</v>
      </c>
      <c r="Q64" s="149">
        <f t="shared" si="44"/>
        <v>0</v>
      </c>
      <c r="R64" s="149">
        <f t="shared" si="44"/>
        <v>0</v>
      </c>
      <c r="S64" s="149">
        <f t="shared" si="44"/>
        <v>0</v>
      </c>
      <c r="T64" s="149">
        <f t="shared" si="44"/>
        <v>0</v>
      </c>
      <c r="U64" s="149">
        <f t="shared" si="44"/>
        <v>0</v>
      </c>
      <c r="V64" s="150">
        <f t="shared" si="44"/>
        <v>0</v>
      </c>
      <c r="W64" s="136"/>
      <c r="Y64" s="71" t="s">
        <v>105</v>
      </c>
      <c r="Z64" s="145">
        <f>NPV($H$39,G64:V64)</f>
        <v>5335073.1340427045</v>
      </c>
      <c r="AA64" s="146">
        <f>Z64/$Z$65</f>
        <v>1.0687040573746254</v>
      </c>
    </row>
    <row r="65" spans="6:27" x14ac:dyDescent="0.25">
      <c r="F65" s="151" t="s">
        <v>162</v>
      </c>
      <c r="G65" s="152">
        <f>-$D$16*(1-$E$23)</f>
        <v>-4992095.891493881</v>
      </c>
      <c r="H65" s="152">
        <f>IF($D$34&gt;=H62,H63+H64,0)</f>
        <v>-2006301.615177879</v>
      </c>
      <c r="I65" s="152">
        <f>IF($D$34&gt;=I62,I63+I64,0)</f>
        <v>548736.9969113407</v>
      </c>
      <c r="J65" s="152">
        <f t="shared" ref="J65:V65" si="45">IF($D$34&gt;=J62,J63+J64,0)</f>
        <v>594517.6428111206</v>
      </c>
      <c r="K65" s="152">
        <f t="shared" si="45"/>
        <v>642136.3644196558</v>
      </c>
      <c r="L65" s="152">
        <f t="shared" si="45"/>
        <v>13588053.33916957</v>
      </c>
      <c r="M65" s="152">
        <f t="shared" si="45"/>
        <v>0</v>
      </c>
      <c r="N65" s="152">
        <f t="shared" si="45"/>
        <v>0</v>
      </c>
      <c r="O65" s="152">
        <f t="shared" si="45"/>
        <v>0</v>
      </c>
      <c r="P65" s="152">
        <f t="shared" si="45"/>
        <v>0</v>
      </c>
      <c r="Q65" s="152">
        <f t="shared" si="45"/>
        <v>0</v>
      </c>
      <c r="R65" s="152">
        <f t="shared" si="45"/>
        <v>0</v>
      </c>
      <c r="S65" s="152">
        <f t="shared" si="45"/>
        <v>0</v>
      </c>
      <c r="T65" s="152">
        <f t="shared" si="45"/>
        <v>0</v>
      </c>
      <c r="U65" s="152">
        <f t="shared" si="45"/>
        <v>0</v>
      </c>
      <c r="V65" s="153">
        <f t="shared" si="45"/>
        <v>0</v>
      </c>
      <c r="W65" s="136"/>
      <c r="Y65" s="106" t="s">
        <v>163</v>
      </c>
      <c r="Z65" s="161">
        <f>SUM(Z63:Z64)</f>
        <v>4992095.891493877</v>
      </c>
      <c r="AA65" s="153">
        <f>+NPV($H$39,H65:V65)</f>
        <v>4992095.891493877</v>
      </c>
    </row>
    <row r="66" spans="23:23" x14ac:dyDescent="0.25">
      <c r="W66" s="136"/>
    </row>
    <row r="67" spans="6:23" x14ac:dyDescent="0.25">
      <c r="F67" s="110"/>
      <c r="G67" s="134">
        <v>0</v>
      </c>
      <c r="H67" s="135">
        <f t="shared" ref="H67" si="46">+G67+1</f>
        <v>1</v>
      </c>
      <c r="I67" s="135">
        <f>+H67+1</f>
        <v>2</v>
      </c>
      <c r="J67" s="135">
        <f t="shared" ref="J67:S67" si="47">+I67+1</f>
        <v>3</v>
      </c>
      <c r="K67" s="135">
        <f t="shared" si="47"/>
        <v>4</v>
      </c>
      <c r="L67" s="135">
        <f t="shared" si="47"/>
        <v>5</v>
      </c>
      <c r="M67" s="135">
        <f t="shared" si="47"/>
        <v>6</v>
      </c>
      <c r="N67" s="135">
        <f t="shared" si="47"/>
        <v>7</v>
      </c>
      <c r="O67" s="135">
        <f t="shared" si="47"/>
        <v>8</v>
      </c>
      <c r="P67" s="135">
        <f t="shared" si="47"/>
        <v>9</v>
      </c>
      <c r="Q67" s="135">
        <f t="shared" si="47"/>
        <v>10</v>
      </c>
      <c r="R67" s="135">
        <f t="shared" si="47"/>
        <v>11</v>
      </c>
      <c r="S67" s="135">
        <f t="shared" si="47"/>
        <v>12</v>
      </c>
      <c r="T67" s="135">
        <f>+S67+1</f>
        <v>13</v>
      </c>
      <c r="U67" s="135">
        <f t="shared" ref="U67:V67" si="48">+T67+1</f>
        <v>14</v>
      </c>
      <c r="V67" s="135">
        <f t="shared" si="48"/>
        <v>15</v>
      </c>
      <c r="W67" s="136"/>
    </row>
    <row r="68" spans="6:23" x14ac:dyDescent="0.25">
      <c r="F68" s="162" t="s">
        <v>167</v>
      </c>
      <c r="G68" s="163"/>
      <c r="H68" s="163">
        <f t="shared" ref="H68:V68" si="49">H155</f>
        <v>-95295.2746242439</v>
      </c>
      <c r="I68" s="163">
        <f t="shared" si="49"/>
        <v>1155492.23614432</v>
      </c>
      <c r="J68" s="163">
        <f t="shared" si="49"/>
        <v>1201773.4115226</v>
      </c>
      <c r="K68" s="163">
        <f t="shared" si="49"/>
        <v>1249907.67849399</v>
      </c>
      <c r="L68" s="163">
        <f t="shared" si="49"/>
        <v>1299969.21605954</v>
      </c>
      <c r="M68" s="163">
        <f t="shared" si="49"/>
        <v>1352035.17204049</v>
      </c>
      <c r="N68" s="163">
        <f t="shared" si="49"/>
        <v>1406185.78188083</v>
      </c>
      <c r="O68" s="163">
        <f t="shared" si="49"/>
        <v>1175381.747441</v>
      </c>
      <c r="P68" s="163">
        <f t="shared" si="49"/>
        <v>1247194.60255503</v>
      </c>
      <c r="Q68" s="163">
        <f t="shared" si="49"/>
        <v>1448896.01364185</v>
      </c>
      <c r="R68" s="163">
        <f t="shared" si="49"/>
        <v>1506929.74272725</v>
      </c>
      <c r="S68" s="163">
        <f t="shared" si="49"/>
        <v>1567287.15763225</v>
      </c>
      <c r="T68" s="163">
        <f t="shared" si="49"/>
        <v>1630061.27588934</v>
      </c>
      <c r="U68" s="163">
        <f t="shared" si="49"/>
        <v>1695348.83783526</v>
      </c>
      <c r="V68" s="164">
        <f t="shared" si="49"/>
        <v>587809.167656085</v>
      </c>
      <c r="W68" s="136"/>
    </row>
    <row r="69" spans="8:23" x14ac:dyDescent="0.25">
      <c r="H69" s="165"/>
      <c r="R69" s="136"/>
      <c r="S69" s="110"/>
      <c r="T69" s="136"/>
      <c r="U69" s="145"/>
      <c r="V69" s="136"/>
      <c r="W69" s="136"/>
    </row>
    <row r="70" spans="6:23" x14ac:dyDescent="0.25">
      <c r="F70" s="110"/>
      <c r="G70" s="166" t="s">
        <v>163</v>
      </c>
      <c r="H70" s="135">
        <v>1</v>
      </c>
      <c r="I70" s="135">
        <f>+H70+1</f>
        <v>2</v>
      </c>
      <c r="J70" s="135">
        <f t="shared" ref="J70:Q70" si="50">+I70+1</f>
        <v>3</v>
      </c>
      <c r="K70" s="135">
        <f t="shared" si="50"/>
        <v>4</v>
      </c>
      <c r="L70" s="135">
        <f t="shared" si="50"/>
        <v>5</v>
      </c>
      <c r="M70" s="135">
        <f t="shared" si="50"/>
        <v>6</v>
      </c>
      <c r="N70" s="135">
        <f t="shared" si="50"/>
        <v>7</v>
      </c>
      <c r="O70" s="135">
        <f t="shared" si="50"/>
        <v>8</v>
      </c>
      <c r="P70" s="135">
        <f t="shared" si="50"/>
        <v>9</v>
      </c>
      <c r="Q70" s="135">
        <f t="shared" si="50"/>
        <v>10</v>
      </c>
      <c r="R70" s="135">
        <f t="shared" ref="R70" si="51">+Q70+1</f>
        <v>11</v>
      </c>
      <c r="S70" s="135">
        <f t="shared" ref="S70" si="52">+R70+1</f>
        <v>12</v>
      </c>
      <c r="T70" s="135">
        <f t="shared" ref="T70" si="53">+S70+1</f>
        <v>13</v>
      </c>
      <c r="U70" s="135">
        <f t="shared" ref="U70" si="54">+T70+1</f>
        <v>14</v>
      </c>
      <c r="V70" s="135">
        <f t="shared" ref="V70" si="55">+U70+1</f>
        <v>15</v>
      </c>
      <c r="W70" s="136"/>
    </row>
    <row r="71" spans="6:23" x14ac:dyDescent="0.25">
      <c r="F71" s="142" t="s">
        <v>168</v>
      </c>
      <c r="G71" s="167"/>
      <c r="H71" s="167"/>
      <c r="I71" s="167"/>
      <c r="J71" s="167"/>
      <c r="K71" s="167"/>
      <c r="L71" s="167"/>
      <c r="M71" s="167"/>
      <c r="N71" s="167"/>
      <c r="O71" s="167"/>
      <c r="P71" s="167"/>
      <c r="Q71" s="167"/>
      <c r="R71" s="168"/>
      <c r="S71" s="169"/>
      <c r="T71" s="168"/>
      <c r="U71" s="138"/>
      <c r="V71" s="170"/>
      <c r="W71" s="136"/>
    </row>
    <row r="72" spans="6:23" x14ac:dyDescent="0.25">
      <c r="F72" s="71" t="s">
        <v>15</v>
      </c>
      <c r="G72" s="149">
        <f>SUM(H72:V72)</f>
        <v>327143.45</v>
      </c>
      <c r="H72" s="149">
        <f t="shared" ref="H72:V72" si="56">-IF(H$70&gt;$D$34,0,H15)</f>
        <v>327143.45</v>
      </c>
      <c r="I72" s="149">
        <f t="shared" si="56"/>
        <v>0</v>
      </c>
      <c r="J72" s="149">
        <f t="shared" si="56"/>
        <v>0</v>
      </c>
      <c r="K72" s="149">
        <f t="shared" si="56"/>
        <v>0</v>
      </c>
      <c r="L72" s="149">
        <f t="shared" si="56"/>
        <v>0</v>
      </c>
      <c r="M72" s="149">
        <f t="shared" si="56"/>
        <v>0</v>
      </c>
      <c r="N72" s="149">
        <f t="shared" si="56"/>
        <v>0</v>
      </c>
      <c r="O72" s="149">
        <f t="shared" si="56"/>
        <v>0</v>
      </c>
      <c r="P72" s="149">
        <f t="shared" si="56"/>
        <v>0</v>
      </c>
      <c r="Q72" s="149">
        <f t="shared" si="56"/>
        <v>0</v>
      </c>
      <c r="R72" s="149">
        <f t="shared" si="56"/>
        <v>0</v>
      </c>
      <c r="S72" s="149">
        <f t="shared" si="56"/>
        <v>0</v>
      </c>
      <c r="T72" s="149">
        <f t="shared" si="56"/>
        <v>0</v>
      </c>
      <c r="U72" s="149">
        <f t="shared" si="56"/>
        <v>0</v>
      </c>
      <c r="V72" s="150">
        <f t="shared" si="56"/>
        <v>0</v>
      </c>
      <c r="W72" s="136"/>
    </row>
    <row r="73" spans="6:23" x14ac:dyDescent="0.25">
      <c r="F73" s="71" t="s">
        <v>17</v>
      </c>
      <c r="G73" s="149">
        <f>SUM(H73:V73)</f>
        <v>552586.680676639</v>
      </c>
      <c r="H73" s="149">
        <f t="shared" ref="H73:V73" si="57">-IF(H$70&gt;$D$34,0,H16)</f>
        <v>552586.680676639</v>
      </c>
      <c r="I73" s="149">
        <f t="shared" si="57"/>
        <v>0</v>
      </c>
      <c r="J73" s="149">
        <f t="shared" si="57"/>
        <v>0</v>
      </c>
      <c r="K73" s="149">
        <f t="shared" si="57"/>
        <v>0</v>
      </c>
      <c r="L73" s="149">
        <f t="shared" si="57"/>
        <v>0</v>
      </c>
      <c r="M73" s="149">
        <f t="shared" si="57"/>
        <v>0</v>
      </c>
      <c r="N73" s="149">
        <f t="shared" si="57"/>
        <v>0</v>
      </c>
      <c r="O73" s="149">
        <f t="shared" si="57"/>
        <v>0</v>
      </c>
      <c r="P73" s="149">
        <f t="shared" si="57"/>
        <v>0</v>
      </c>
      <c r="Q73" s="149">
        <f t="shared" si="57"/>
        <v>0</v>
      </c>
      <c r="R73" s="149">
        <f t="shared" si="57"/>
        <v>0</v>
      </c>
      <c r="S73" s="149">
        <f t="shared" si="57"/>
        <v>0</v>
      </c>
      <c r="T73" s="149">
        <f t="shared" si="57"/>
        <v>0</v>
      </c>
      <c r="U73" s="149">
        <f t="shared" si="57"/>
        <v>0</v>
      </c>
      <c r="V73" s="150">
        <f t="shared" si="57"/>
        <v>0</v>
      </c>
      <c r="W73" s="136"/>
    </row>
    <row r="74" spans="6:23" x14ac:dyDescent="0.25">
      <c r="F74" s="171" t="s">
        <v>18</v>
      </c>
      <c r="G74" s="149">
        <f>SUM(H74:V74)</f>
        <v>952845</v>
      </c>
      <c r="H74" s="149">
        <f t="shared" ref="H74:V74" si="58">-IF(H$70&gt;$D$34,0,H18)</f>
        <v>952845</v>
      </c>
      <c r="I74" s="149">
        <f t="shared" si="58"/>
        <v>0</v>
      </c>
      <c r="J74" s="149">
        <f t="shared" si="58"/>
        <v>0</v>
      </c>
      <c r="K74" s="149">
        <f t="shared" si="58"/>
        <v>0</v>
      </c>
      <c r="L74" s="149">
        <f t="shared" si="58"/>
        <v>0</v>
      </c>
      <c r="M74" s="149">
        <f t="shared" si="58"/>
        <v>0</v>
      </c>
      <c r="N74" s="149">
        <f t="shared" si="58"/>
        <v>0</v>
      </c>
      <c r="O74" s="149">
        <f t="shared" si="58"/>
        <v>0</v>
      </c>
      <c r="P74" s="149">
        <f t="shared" si="58"/>
        <v>0</v>
      </c>
      <c r="Q74" s="149">
        <f t="shared" si="58"/>
        <v>0</v>
      </c>
      <c r="R74" s="149">
        <f t="shared" si="58"/>
        <v>0</v>
      </c>
      <c r="S74" s="149">
        <f t="shared" si="58"/>
        <v>0</v>
      </c>
      <c r="T74" s="149">
        <f t="shared" si="58"/>
        <v>0</v>
      </c>
      <c r="U74" s="149">
        <f t="shared" si="58"/>
        <v>0</v>
      </c>
      <c r="V74" s="150">
        <f t="shared" si="58"/>
        <v>0</v>
      </c>
      <c r="W74" s="136"/>
    </row>
    <row r="75" spans="6:23" x14ac:dyDescent="0.25">
      <c r="F75" s="172" t="s">
        <v>169</v>
      </c>
      <c r="G75" s="143">
        <f>SUM(G72:G74)</f>
        <v>1832575.130676639</v>
      </c>
      <c r="H75" s="143">
        <f>SUM(H72:H74)</f>
        <v>1832575.130676639</v>
      </c>
      <c r="I75" s="143">
        <f>SUM(I72:I74)</f>
        <v>0</v>
      </c>
      <c r="J75" s="143">
        <f t="shared" ref="J75:Q75" si="59">SUM(J72:J74)</f>
        <v>0</v>
      </c>
      <c r="K75" s="143">
        <f t="shared" si="59"/>
        <v>0</v>
      </c>
      <c r="L75" s="143">
        <f t="shared" si="59"/>
        <v>0</v>
      </c>
      <c r="M75" s="143">
        <f t="shared" si="59"/>
        <v>0</v>
      </c>
      <c r="N75" s="143">
        <f t="shared" si="59"/>
        <v>0</v>
      </c>
      <c r="O75" s="143">
        <f t="shared" si="59"/>
        <v>0</v>
      </c>
      <c r="P75" s="143">
        <f t="shared" si="59"/>
        <v>0</v>
      </c>
      <c r="Q75" s="143">
        <f t="shared" si="59"/>
        <v>0</v>
      </c>
      <c r="R75" s="143">
        <f t="shared" ref="R75" si="60">SUM(R72:R74)</f>
        <v>0</v>
      </c>
      <c r="S75" s="143">
        <f t="shared" ref="S75" si="61">SUM(S72:S74)</f>
        <v>0</v>
      </c>
      <c r="T75" s="143">
        <f t="shared" ref="T75" si="62">SUM(T72:T74)</f>
        <v>0</v>
      </c>
      <c r="U75" s="143">
        <f t="shared" ref="U75" si="63">SUM(U72:U74)</f>
        <v>0</v>
      </c>
      <c r="V75" s="144">
        <f t="shared" ref="V75" si="64">SUM(V72:V74)</f>
        <v>0</v>
      </c>
      <c r="W75" s="136"/>
    </row>
    <row r="76" spans="6:23" x14ac:dyDescent="0.25">
      <c r="F76" s="173" t="s">
        <v>170</v>
      </c>
      <c r="G76" s="174">
        <f>$D$16+G75</f>
        <v>14312814.85941134</v>
      </c>
      <c r="H76" s="174">
        <f>$D$16+H75</f>
        <v>14312814.85941134</v>
      </c>
      <c r="I76" s="174">
        <f t="shared" ref="I76:O76" si="65">H76+I75</f>
        <v>14312814.85941134</v>
      </c>
      <c r="J76" s="174">
        <f t="shared" si="65"/>
        <v>14312814.85941134</v>
      </c>
      <c r="K76" s="174">
        <f t="shared" si="65"/>
        <v>14312814.85941134</v>
      </c>
      <c r="L76" s="174">
        <f t="shared" si="65"/>
        <v>14312814.85941134</v>
      </c>
      <c r="M76" s="174">
        <f t="shared" si="65"/>
        <v>14312814.85941134</v>
      </c>
      <c r="N76" s="174">
        <f t="shared" si="65"/>
        <v>14312814.85941134</v>
      </c>
      <c r="O76" s="174">
        <f t="shared" si="65"/>
        <v>14312814.85941134</v>
      </c>
      <c r="P76" s="174">
        <f t="shared" ref="P76" si="66">O76+P75</f>
        <v>14312814.85941134</v>
      </c>
      <c r="Q76" s="174">
        <f>P76+Q75</f>
        <v>14312814.85941134</v>
      </c>
      <c r="R76" s="174">
        <f>Q76+R75</f>
        <v>14312814.85941134</v>
      </c>
      <c r="S76" s="174">
        <f>R76+S75</f>
        <v>14312814.85941134</v>
      </c>
      <c r="T76" s="174">
        <f>S76+T75</f>
        <v>14312814.85941134</v>
      </c>
      <c r="U76" s="174">
        <f t="shared" ref="U76" si="67">T76+U75</f>
        <v>14312814.85941134</v>
      </c>
      <c r="V76" s="175">
        <f t="shared" ref="V76" si="68">U76+V75</f>
        <v>14312814.85941134</v>
      </c>
      <c r="W76" s="136"/>
    </row>
    <row r="77" spans="6:23" x14ac:dyDescent="0.25">
      <c r="F77" s="176" t="s">
        <v>171</v>
      </c>
      <c r="G77" s="163">
        <f>SUM(H77:V77)</f>
        <v>8015981.916046804</v>
      </c>
      <c r="H77" s="177">
        <f>H175+IF(H70&gt;$D$34,0,IF((H72+H73)*E29+H74*E26&gt;0,(H72+H73)*E29+H74*E26,0.0001))</f>
        <v>8015981.9156468045</v>
      </c>
      <c r="I77" s="163">
        <f t="shared" ref="I77:S77" si="69">IF(I70&gt;$D$34,0,IF((I72+I73)*$E$29+I74*$E$26&gt;0,(I72+I73)*$E$29+I74*$E$26,0.0001))</f>
        <v>0.0001</v>
      </c>
      <c r="J77" s="163">
        <f t="shared" si="69"/>
        <v>0.0001</v>
      </c>
      <c r="K77" s="163">
        <f t="shared" si="69"/>
        <v>0.0001</v>
      </c>
      <c r="L77" s="163">
        <f t="shared" si="69"/>
        <v>0.0001</v>
      </c>
      <c r="M77" s="163">
        <f t="shared" si="69"/>
        <v>0</v>
      </c>
      <c r="N77" s="163">
        <f t="shared" si="69"/>
        <v>0</v>
      </c>
      <c r="O77" s="163">
        <f t="shared" si="69"/>
        <v>0</v>
      </c>
      <c r="P77" s="163">
        <f t="shared" si="69"/>
        <v>0</v>
      </c>
      <c r="Q77" s="163">
        <f t="shared" si="69"/>
        <v>0</v>
      </c>
      <c r="R77" s="163">
        <f t="shared" si="69"/>
        <v>0</v>
      </c>
      <c r="S77" s="163">
        <f t="shared" si="69"/>
        <v>0</v>
      </c>
      <c r="T77" s="163">
        <f t="shared" ref="T77:V77" si="70">IF(T70&gt;$D$34,0,IF((T72+T73)*$E$29+T74*$E$26&gt;0,(T72+T73)*$E$29+T74*$E$26,0.0001))</f>
        <v>0</v>
      </c>
      <c r="U77" s="163">
        <f t="shared" si="70"/>
        <v>0</v>
      </c>
      <c r="V77" s="164">
        <f t="shared" si="70"/>
        <v>0</v>
      </c>
      <c r="W77" s="136"/>
    </row>
    <row r="78" spans="6:23" x14ac:dyDescent="0.25">
      <c r="F78" s="178" t="s">
        <v>172</v>
      </c>
      <c r="G78" s="149">
        <f>SUM(H78:V78)</f>
        <v>5725125.943764537</v>
      </c>
      <c r="H78" s="149">
        <f>((1-$E$23)*$D$16)+IF(H70&gt;$D$34,0,(1-$E$23)*H75)</f>
        <v>5725125.943764537</v>
      </c>
      <c r="I78" s="149">
        <f>IF(I70&gt;$D$34,0,(1-$E$26)*I74+(1-$E$29)*(I72+I73))</f>
        <v>0</v>
      </c>
      <c r="J78" s="149">
        <f t="shared" ref="J78:V78" si="71">IF(J70&gt;$D$34,0,(1-$E$26)*J74+(1-$E$29)*(J72+J73))</f>
        <v>0</v>
      </c>
      <c r="K78" s="149">
        <f t="shared" si="71"/>
        <v>0</v>
      </c>
      <c r="L78" s="149">
        <f t="shared" si="71"/>
        <v>0</v>
      </c>
      <c r="M78" s="149">
        <f t="shared" si="71"/>
        <v>0</v>
      </c>
      <c r="N78" s="149">
        <f t="shared" si="71"/>
        <v>0</v>
      </c>
      <c r="O78" s="149">
        <f t="shared" si="71"/>
        <v>0</v>
      </c>
      <c r="P78" s="149">
        <f t="shared" si="71"/>
        <v>0</v>
      </c>
      <c r="Q78" s="149">
        <f t="shared" si="71"/>
        <v>0</v>
      </c>
      <c r="R78" s="149">
        <f t="shared" si="71"/>
        <v>0</v>
      </c>
      <c r="S78" s="149">
        <f t="shared" si="71"/>
        <v>0</v>
      </c>
      <c r="T78" s="149">
        <f t="shared" si="71"/>
        <v>0</v>
      </c>
      <c r="U78" s="149">
        <f t="shared" si="71"/>
        <v>0</v>
      </c>
      <c r="V78" s="150">
        <f t="shared" si="71"/>
        <v>0</v>
      </c>
      <c r="W78" s="136"/>
    </row>
    <row r="79" spans="6:23" x14ac:dyDescent="0.25">
      <c r="F79" s="173" t="s">
        <v>173</v>
      </c>
      <c r="G79" s="174">
        <f>MAX(H79:V79)</f>
        <v>5725125.943764537</v>
      </c>
      <c r="H79" s="174">
        <f>H78</f>
        <v>5725125.943764537</v>
      </c>
      <c r="I79" s="174">
        <f>I78+H79</f>
        <v>5725125.943764537</v>
      </c>
      <c r="J79" s="174">
        <f>J78+I79</f>
        <v>5725125.943764537</v>
      </c>
      <c r="K79" s="174">
        <f>K78+J79</f>
        <v>5725125.943764537</v>
      </c>
      <c r="L79" s="174">
        <f>L78+K79</f>
        <v>5725125.943764537</v>
      </c>
      <c r="M79" s="174">
        <f>M78+L79</f>
        <v>5725125.943764537</v>
      </c>
      <c r="N79" s="174">
        <f t="shared" ref="N79" si="72">N78+M79</f>
        <v>5725125.943764537</v>
      </c>
      <c r="O79" s="174">
        <f t="shared" ref="O79:V79" si="73">O78+N79</f>
        <v>5725125.943764537</v>
      </c>
      <c r="P79" s="174">
        <f t="shared" si="73"/>
        <v>5725125.943764537</v>
      </c>
      <c r="Q79" s="174">
        <f t="shared" si="73"/>
        <v>5725125.943764537</v>
      </c>
      <c r="R79" s="174">
        <f t="shared" si="73"/>
        <v>5725125.943764537</v>
      </c>
      <c r="S79" s="174">
        <f t="shared" si="73"/>
        <v>5725125.943764537</v>
      </c>
      <c r="T79" s="174">
        <f t="shared" si="73"/>
        <v>5725125.943764537</v>
      </c>
      <c r="U79" s="174">
        <f t="shared" si="73"/>
        <v>5725125.943764537</v>
      </c>
      <c r="V79" s="175">
        <f t="shared" si="73"/>
        <v>5725125.943764537</v>
      </c>
      <c r="W79" s="136"/>
    </row>
    <row r="80" spans="6:23" x14ac:dyDescent="0.25">
      <c r="F80" s="110"/>
      <c r="G80" s="179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45"/>
      <c r="V80" s="110"/>
      <c r="W80" s="136"/>
    </row>
    <row r="81" spans="6:23" x14ac:dyDescent="0.25">
      <c r="F81" s="137"/>
      <c r="G81" s="180" t="s">
        <v>163</v>
      </c>
      <c r="H81" s="181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45"/>
      <c r="V81" s="110"/>
      <c r="W81" s="136"/>
    </row>
    <row r="82" spans="6:22" x14ac:dyDescent="0.25">
      <c r="F82" s="71" t="s">
        <v>171</v>
      </c>
      <c r="G82" s="182">
        <f>G77</f>
        <v>8015981.916046804</v>
      </c>
      <c r="H82" s="183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45"/>
      <c r="V82" s="110"/>
    </row>
    <row r="83" spans="6:22" x14ac:dyDescent="0.25">
      <c r="F83" s="71" t="s">
        <v>172</v>
      </c>
      <c r="G83" s="182">
        <f>D20-G82</f>
        <v>6296832.943364536</v>
      </c>
      <c r="H83" s="183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45"/>
      <c r="V83" s="110"/>
    </row>
    <row r="84" spans="6:17" x14ac:dyDescent="0.25">
      <c r="F84" s="106" t="s">
        <v>20</v>
      </c>
      <c r="G84" s="184">
        <f>SUM(G82:G83)</f>
        <v>14312814.85941134</v>
      </c>
      <c r="H84" s="183"/>
      <c r="I84" s="110"/>
      <c r="J84" s="110"/>
      <c r="K84" s="110"/>
      <c r="L84" s="110"/>
      <c r="M84" s="110"/>
      <c r="N84" s="110"/>
      <c r="O84" s="110"/>
      <c r="P84" s="110"/>
      <c r="Q84" s="110"/>
    </row>
    <row r="86" spans="7:22" x14ac:dyDescent="0.25">
      <c r="G86" s="185" t="s">
        <v>174</v>
      </c>
      <c r="H86" s="186">
        <v>1</v>
      </c>
      <c r="I86" s="186">
        <v>2</v>
      </c>
      <c r="J86" s="186">
        <v>3</v>
      </c>
      <c r="K86" s="186">
        <v>4</v>
      </c>
      <c r="L86" s="186">
        <v>5</v>
      </c>
      <c r="M86" s="186">
        <v>6</v>
      </c>
      <c r="N86" s="186">
        <v>7</v>
      </c>
      <c r="O86" s="186">
        <v>8</v>
      </c>
      <c r="P86" s="186">
        <v>9</v>
      </c>
      <c r="Q86" s="186">
        <v>10</v>
      </c>
      <c r="R86" s="186">
        <v>11</v>
      </c>
      <c r="S86" s="186">
        <v>12</v>
      </c>
      <c r="T86" s="186">
        <v>13</v>
      </c>
      <c r="U86" s="186">
        <v>14</v>
      </c>
      <c r="V86" s="187">
        <v>15</v>
      </c>
    </row>
    <row r="87" spans="3:22" x14ac:dyDescent="0.25">
      <c r="C87" s="188"/>
      <c r="G87" s="16" t="str">
        <f>+G7</f>
        <v>Avg. Occupancy</v>
      </c>
      <c r="H87" s="165">
        <f t="shared" ref="H87:V87" si="74">+H7*$D$8</f>
        <v>31761.5</v>
      </c>
      <c r="I87" s="165">
        <f t="shared" si="74"/>
        <v>63523</v>
      </c>
      <c r="J87" s="165">
        <f t="shared" si="74"/>
        <v>63523</v>
      </c>
      <c r="K87" s="165">
        <f t="shared" si="74"/>
        <v>63523</v>
      </c>
      <c r="L87" s="165">
        <f t="shared" si="74"/>
        <v>63523</v>
      </c>
      <c r="M87" s="165">
        <f t="shared" si="74"/>
        <v>63523</v>
      </c>
      <c r="N87" s="165">
        <f t="shared" si="74"/>
        <v>63523</v>
      </c>
      <c r="O87" s="165">
        <f t="shared" si="74"/>
        <v>52935.812159</v>
      </c>
      <c r="P87" s="165">
        <f t="shared" si="74"/>
        <v>63523</v>
      </c>
      <c r="Q87" s="165">
        <f t="shared" si="74"/>
        <v>63523</v>
      </c>
      <c r="R87" s="165">
        <f t="shared" si="74"/>
        <v>63523</v>
      </c>
      <c r="S87" s="165">
        <f t="shared" si="74"/>
        <v>63523</v>
      </c>
      <c r="T87" s="165">
        <f t="shared" si="74"/>
        <v>63523</v>
      </c>
      <c r="U87" s="165">
        <f t="shared" si="74"/>
        <v>63523</v>
      </c>
      <c r="V87" s="189">
        <f t="shared" si="74"/>
        <v>63523</v>
      </c>
    </row>
    <row r="88" spans="7:22" x14ac:dyDescent="0.25">
      <c r="G88" s="16" t="str">
        <f>+G9</f>
        <v>Wgtd Avg In-Place Rent</v>
      </c>
      <c r="H88" s="165">
        <f t="shared" ref="H88:V88" si="75">+H9*$D$8</f>
        <v>1175175.5</v>
      </c>
      <c r="I88" s="165">
        <f t="shared" si="75"/>
        <v>1198679.01</v>
      </c>
      <c r="J88" s="165">
        <f t="shared" si="75"/>
        <v>1246626.1704</v>
      </c>
      <c r="K88" s="165">
        <f t="shared" si="75"/>
        <v>1296491.7254</v>
      </c>
      <c r="L88" s="165">
        <f t="shared" si="75"/>
        <v>1348351.9026</v>
      </c>
      <c r="M88" s="165">
        <f t="shared" si="75"/>
        <v>1402282.9296</v>
      </c>
      <c r="N88" s="165">
        <f t="shared" si="75"/>
        <v>1458373.7386</v>
      </c>
      <c r="O88" s="165">
        <f t="shared" si="75"/>
        <v>1492841.3184000002</v>
      </c>
      <c r="P88" s="165">
        <f t="shared" si="75"/>
        <v>1445319.7621000002</v>
      </c>
      <c r="Q88" s="165">
        <f t="shared" si="75"/>
        <v>1503132.0444</v>
      </c>
      <c r="R88" s="165">
        <f t="shared" si="75"/>
        <v>1563256.5639000002</v>
      </c>
      <c r="S88" s="165">
        <f t="shared" si="75"/>
        <v>1625788.6050999998</v>
      </c>
      <c r="T88" s="165">
        <f t="shared" si="75"/>
        <v>1690817.1002</v>
      </c>
      <c r="U88" s="165">
        <f t="shared" si="75"/>
        <v>1758450.0383</v>
      </c>
      <c r="V88" s="189">
        <f t="shared" si="75"/>
        <v>1828789.0562</v>
      </c>
    </row>
    <row r="89" spans="3:22" x14ac:dyDescent="0.25">
      <c r="C89" s="190"/>
      <c r="D89" s="191"/>
      <c r="G89" s="32" t="str">
        <f>+G10</f>
        <v>Wgtd Avg Market Rent</v>
      </c>
      <c r="H89" s="192">
        <f t="shared" ref="H89:V89" si="76">+H10*$D$8</f>
        <v>1175175.5</v>
      </c>
      <c r="I89" s="192">
        <f t="shared" si="76"/>
        <v>1175175.5</v>
      </c>
      <c r="J89" s="192">
        <f t="shared" si="76"/>
        <v>1210748.38</v>
      </c>
      <c r="K89" s="192">
        <f t="shared" si="76"/>
        <v>1246956.49</v>
      </c>
      <c r="L89" s="192">
        <f t="shared" si="76"/>
        <v>1284435.0599999998</v>
      </c>
      <c r="M89" s="192">
        <f t="shared" si="76"/>
        <v>1322548.86</v>
      </c>
      <c r="N89" s="192">
        <f t="shared" si="76"/>
        <v>1362568.3499999999</v>
      </c>
      <c r="O89" s="192">
        <f t="shared" si="76"/>
        <v>1403223.07</v>
      </c>
      <c r="P89" s="192">
        <f t="shared" si="76"/>
        <v>1445148.25</v>
      </c>
      <c r="Q89" s="192">
        <f t="shared" si="76"/>
        <v>1488979.12</v>
      </c>
      <c r="R89" s="192">
        <f t="shared" si="76"/>
        <v>1533445.22</v>
      </c>
      <c r="S89" s="192">
        <f t="shared" si="76"/>
        <v>1579181.78</v>
      </c>
      <c r="T89" s="192">
        <f t="shared" si="76"/>
        <v>1626824.03</v>
      </c>
      <c r="U89" s="192">
        <f t="shared" si="76"/>
        <v>1675736.74</v>
      </c>
      <c r="V89" s="159">
        <f t="shared" si="76"/>
        <v>1725919.9100000001</v>
      </c>
    </row>
    <row r="90" spans="3:186" x14ac:dyDescent="0.25">
      <c r="C90" s="190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</row>
    <row r="91" spans="3:186" x14ac:dyDescent="0.25">
      <c r="C91" s="190"/>
      <c r="G91" s="185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86"/>
      <c r="V91" s="187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</row>
    <row r="92" spans="3:186" x14ac:dyDescent="0.25">
      <c r="C92" s="190"/>
      <c r="G92" s="16"/>
      <c r="H92" s="149">
        <f>H175</f>
        <v>7488143.837240821</v>
      </c>
      <c r="I92" s="149">
        <f t="shared" ref="I92:V92" si="77">I175</f>
        <v>7488143.837240821</v>
      </c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50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</row>
    <row r="93" spans="3:186" x14ac:dyDescent="0.25">
      <c r="C93" s="190"/>
      <c r="G93" s="16"/>
      <c r="H93" s="149">
        <f>H182</f>
        <v>0</v>
      </c>
      <c r="I93" s="149">
        <f t="shared" ref="I93:V93" si="78">I182</f>
        <v>0</v>
      </c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50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</row>
    <row r="94" spans="3:186" x14ac:dyDescent="0.25">
      <c r="C94" s="190"/>
      <c r="G94" s="32"/>
      <c r="H94" s="152">
        <f>H203</f>
        <v>0</v>
      </c>
      <c r="I94" s="152">
        <f t="shared" ref="I94:V94" si="79">I203</f>
        <v>0</v>
      </c>
      <c r="J94" s="152"/>
      <c r="K94" s="152"/>
      <c r="L94" s="152"/>
      <c r="M94" s="152"/>
      <c r="N94" s="152"/>
      <c r="O94" s="152"/>
      <c r="P94" s="152"/>
      <c r="Q94" s="152"/>
      <c r="R94" s="152"/>
      <c r="S94" s="152"/>
      <c r="T94" s="152"/>
      <c r="U94" s="152"/>
      <c r="V94" s="153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</row>
    <row r="95" spans="3:186" x14ac:dyDescent="0.25">
      <c r="C95" s="190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</row>
    <row r="96" spans="7:186" x14ac:dyDescent="0.25">
      <c r="G96" s="193"/>
      <c r="H96" s="194"/>
      <c r="I96" s="194"/>
      <c r="J96" s="194"/>
      <c r="K96" s="194"/>
      <c r="L96" s="194"/>
      <c r="M96" s="194"/>
      <c r="N96" s="194"/>
      <c r="O96" s="194"/>
      <c r="P96" s="194"/>
      <c r="Q96" s="194"/>
      <c r="R96" s="194"/>
      <c r="S96" s="194"/>
      <c r="T96" s="194"/>
      <c r="U96" s="194"/>
      <c r="V96" s="19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</row>
    <row r="97" spans="7:186" x14ac:dyDescent="0.25">
      <c r="G97" s="196"/>
      <c r="H97" s="197"/>
      <c r="I97" s="197"/>
      <c r="J97" s="197"/>
      <c r="K97" s="197"/>
      <c r="L97" s="197"/>
      <c r="M97" s="197"/>
      <c r="N97" s="197"/>
      <c r="O97" s="197"/>
      <c r="P97" s="197"/>
      <c r="Q97" s="197"/>
      <c r="R97" s="197"/>
      <c r="S97" s="197"/>
      <c r="T97" s="197"/>
      <c r="U97" s="197"/>
      <c r="V97" s="198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</row>
    <row r="98" spans="7:186" x14ac:dyDescent="0.25">
      <c r="G98" s="199"/>
      <c r="H98" s="200"/>
      <c r="I98" s="200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</row>
    <row r="99" spans="7:186" x14ac:dyDescent="0.25">
      <c r="G99" s="202"/>
      <c r="H99" s="203"/>
      <c r="I99" s="203"/>
      <c r="J99" s="203"/>
      <c r="K99" s="203"/>
      <c r="L99" s="203"/>
      <c r="M99" s="203"/>
      <c r="N99" s="203"/>
      <c r="O99" s="203"/>
      <c r="P99" s="203"/>
      <c r="Q99" s="203"/>
      <c r="R99" s="203"/>
      <c r="S99" s="203"/>
      <c r="T99" s="203"/>
      <c r="U99" s="203"/>
      <c r="V99" s="204"/>
      <c r="W99" s="205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</row>
    <row r="100" spans="7:186" x14ac:dyDescent="0.25">
      <c r="G100" s="206"/>
      <c r="H100" s="190"/>
      <c r="I100" s="190"/>
      <c r="J100" s="190"/>
      <c r="K100" s="190"/>
      <c r="L100" s="190"/>
      <c r="M100" s="190"/>
      <c r="N100" s="190"/>
      <c r="O100" s="190"/>
      <c r="P100" s="190"/>
      <c r="Q100" s="190"/>
      <c r="R100" s="190"/>
      <c r="S100" s="190"/>
      <c r="T100" s="190"/>
      <c r="U100" s="190"/>
      <c r="V100" s="207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</row>
    <row r="101" spans="7:186" x14ac:dyDescent="0.25">
      <c r="G101" s="206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207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</row>
    <row r="102" spans="7:186" x14ac:dyDescent="0.25">
      <c r="G102" s="206"/>
      <c r="H102" s="190"/>
      <c r="I102" s="190"/>
      <c r="J102" s="190"/>
      <c r="K102" s="190"/>
      <c r="L102" s="190"/>
      <c r="M102" s="190"/>
      <c r="N102" s="190"/>
      <c r="O102" s="190"/>
      <c r="P102" s="190"/>
      <c r="Q102" s="190"/>
      <c r="R102" s="190"/>
      <c r="S102" s="190"/>
      <c r="T102" s="190"/>
      <c r="U102" s="190"/>
      <c r="V102" s="207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</row>
    <row r="103" spans="7:186" x14ac:dyDescent="0.25">
      <c r="G103" s="206"/>
      <c r="H103" s="190"/>
      <c r="I103" s="190"/>
      <c r="J103" s="190"/>
      <c r="K103" s="190"/>
      <c r="L103" s="190"/>
      <c r="M103" s="190"/>
      <c r="N103" s="190"/>
      <c r="O103" s="190"/>
      <c r="P103" s="190"/>
      <c r="Q103" s="190"/>
      <c r="R103" s="190"/>
      <c r="S103" s="190"/>
      <c r="T103" s="190"/>
      <c r="U103" s="190"/>
      <c r="V103" s="207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</row>
    <row r="104" spans="7:186" x14ac:dyDescent="0.25">
      <c r="G104" s="206"/>
      <c r="H104" s="190"/>
      <c r="I104" s="190"/>
      <c r="J104" s="190"/>
      <c r="K104" s="190"/>
      <c r="L104" s="190"/>
      <c r="M104" s="190"/>
      <c r="N104" s="190"/>
      <c r="O104" s="190"/>
      <c r="P104" s="190"/>
      <c r="Q104" s="190"/>
      <c r="R104" s="190"/>
      <c r="S104" s="190"/>
      <c r="T104" s="190"/>
      <c r="U104" s="190"/>
      <c r="V104" s="207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</row>
    <row r="105" spans="7:186" x14ac:dyDescent="0.25">
      <c r="G105" s="206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190"/>
      <c r="U105" s="190"/>
      <c r="V105" s="207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</row>
    <row r="106" spans="7:186" x14ac:dyDescent="0.25">
      <c r="G106" s="206"/>
      <c r="H106" s="190"/>
      <c r="I106" s="190"/>
      <c r="J106" s="190"/>
      <c r="K106" s="190"/>
      <c r="L106" s="190"/>
      <c r="M106" s="190"/>
      <c r="N106" s="190"/>
      <c r="O106" s="190"/>
      <c r="P106" s="190"/>
      <c r="Q106" s="190"/>
      <c r="R106" s="190"/>
      <c r="S106" s="190"/>
      <c r="T106" s="190"/>
      <c r="U106" s="190"/>
      <c r="V106" s="207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</row>
    <row r="107" spans="7:186" x14ac:dyDescent="0.25">
      <c r="G107" s="206"/>
      <c r="H107" s="190"/>
      <c r="I107" s="190"/>
      <c r="J107" s="190"/>
      <c r="K107" s="190"/>
      <c r="L107" s="190"/>
      <c r="M107" s="190"/>
      <c r="N107" s="190"/>
      <c r="O107" s="190"/>
      <c r="P107" s="190"/>
      <c r="Q107" s="190"/>
      <c r="R107" s="190"/>
      <c r="S107" s="190"/>
      <c r="T107" s="190"/>
      <c r="U107" s="190"/>
      <c r="V107" s="207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</row>
    <row r="108" spans="7:186" x14ac:dyDescent="0.25">
      <c r="G108" s="206"/>
      <c r="H108" s="190"/>
      <c r="I108" s="190"/>
      <c r="J108" s="190"/>
      <c r="K108" s="190"/>
      <c r="L108" s="190"/>
      <c r="M108" s="190"/>
      <c r="N108" s="190"/>
      <c r="O108" s="190"/>
      <c r="P108" s="190"/>
      <c r="Q108" s="190"/>
      <c r="R108" s="190"/>
      <c r="S108" s="190"/>
      <c r="T108" s="190"/>
      <c r="U108" s="190"/>
      <c r="V108" s="207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</row>
    <row r="109" spans="7:186" x14ac:dyDescent="0.25">
      <c r="G109" s="206"/>
      <c r="H109" s="190"/>
      <c r="I109" s="190"/>
      <c r="J109" s="190"/>
      <c r="K109" s="190"/>
      <c r="L109" s="190"/>
      <c r="M109" s="190"/>
      <c r="N109" s="190"/>
      <c r="O109" s="190"/>
      <c r="P109" s="190"/>
      <c r="Q109" s="190"/>
      <c r="R109" s="190"/>
      <c r="S109" s="190"/>
      <c r="T109" s="190"/>
      <c r="U109" s="190"/>
      <c r="V109" s="207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</row>
    <row r="110" spans="7:186" x14ac:dyDescent="0.25">
      <c r="G110" s="206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207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</row>
    <row r="111" spans="7:186" x14ac:dyDescent="0.25">
      <c r="G111" s="206"/>
      <c r="H111" s="190"/>
      <c r="I111" s="190"/>
      <c r="J111" s="190"/>
      <c r="K111" s="190"/>
      <c r="L111" s="190"/>
      <c r="M111" s="190"/>
      <c r="N111" s="190"/>
      <c r="O111" s="190"/>
      <c r="P111" s="190"/>
      <c r="Q111" s="190"/>
      <c r="R111" s="190"/>
      <c r="S111" s="190"/>
      <c r="T111" s="190"/>
      <c r="U111" s="190"/>
      <c r="V111" s="207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</row>
    <row r="112" spans="7:186" x14ac:dyDescent="0.25">
      <c r="G112" s="206"/>
      <c r="H112" s="190"/>
      <c r="I112" s="190"/>
      <c r="J112" s="190"/>
      <c r="K112" s="190"/>
      <c r="L112" s="190"/>
      <c r="M112" s="190"/>
      <c r="N112" s="190"/>
      <c r="O112" s="190"/>
      <c r="P112" s="190"/>
      <c r="Q112" s="190"/>
      <c r="R112" s="190"/>
      <c r="S112" s="190"/>
      <c r="T112" s="190"/>
      <c r="U112" s="190"/>
      <c r="V112" s="207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</row>
    <row r="113" spans="7:186" x14ac:dyDescent="0.25">
      <c r="G113" s="206"/>
      <c r="H113" s="190"/>
      <c r="I113" s="190"/>
      <c r="J113" s="190"/>
      <c r="K113" s="190"/>
      <c r="L113" s="190"/>
      <c r="M113" s="190"/>
      <c r="N113" s="190"/>
      <c r="O113" s="190"/>
      <c r="P113" s="190"/>
      <c r="Q113" s="190"/>
      <c r="R113" s="190"/>
      <c r="S113" s="190"/>
      <c r="T113" s="190"/>
      <c r="U113" s="190"/>
      <c r="V113" s="207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</row>
    <row r="114" spans="7:186" x14ac:dyDescent="0.25">
      <c r="G114" s="206"/>
      <c r="H114" s="190"/>
      <c r="I114" s="190"/>
      <c r="J114" s="190"/>
      <c r="K114" s="190"/>
      <c r="L114" s="190"/>
      <c r="M114" s="190"/>
      <c r="N114" s="190"/>
      <c r="O114" s="190"/>
      <c r="P114" s="190"/>
      <c r="Q114" s="190"/>
      <c r="R114" s="190"/>
      <c r="S114" s="190"/>
      <c r="T114" s="190"/>
      <c r="U114" s="190"/>
      <c r="V114" s="207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</row>
    <row r="115" spans="7:186" x14ac:dyDescent="0.25">
      <c r="G115" s="206"/>
      <c r="H115" s="190"/>
      <c r="I115" s="190"/>
      <c r="J115" s="190"/>
      <c r="K115" s="190"/>
      <c r="L115" s="190"/>
      <c r="M115" s="190"/>
      <c r="N115" s="190"/>
      <c r="O115" s="190"/>
      <c r="P115" s="190"/>
      <c r="Q115" s="190"/>
      <c r="R115" s="190"/>
      <c r="S115" s="190"/>
      <c r="T115" s="190"/>
      <c r="U115" s="190"/>
      <c r="V115" s="207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</row>
    <row r="116" spans="7:186" x14ac:dyDescent="0.25">
      <c r="G116" s="206"/>
      <c r="H116" s="190"/>
      <c r="I116" s="190"/>
      <c r="J116" s="190"/>
      <c r="K116" s="190"/>
      <c r="L116" s="190"/>
      <c r="M116" s="190"/>
      <c r="N116" s="190"/>
      <c r="O116" s="190"/>
      <c r="P116" s="190"/>
      <c r="Q116" s="190"/>
      <c r="R116" s="190"/>
      <c r="S116" s="190"/>
      <c r="T116" s="190"/>
      <c r="U116" s="190"/>
      <c r="V116" s="207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</row>
    <row r="117" spans="7:186" x14ac:dyDescent="0.25">
      <c r="G117" s="206"/>
      <c r="H117" s="190"/>
      <c r="I117" s="190"/>
      <c r="J117" s="190"/>
      <c r="K117" s="190"/>
      <c r="L117" s="190"/>
      <c r="M117" s="190"/>
      <c r="N117" s="190"/>
      <c r="O117" s="190"/>
      <c r="P117" s="190"/>
      <c r="Q117" s="190"/>
      <c r="R117" s="190"/>
      <c r="S117" s="190"/>
      <c r="T117" s="190"/>
      <c r="U117" s="190"/>
      <c r="V117" s="207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</row>
    <row r="118" spans="7:186" x14ac:dyDescent="0.25">
      <c r="G118" s="206"/>
      <c r="H118" s="190"/>
      <c r="I118" s="190"/>
      <c r="J118" s="190"/>
      <c r="K118" s="190"/>
      <c r="L118" s="190"/>
      <c r="M118" s="190"/>
      <c r="N118" s="190"/>
      <c r="O118" s="190"/>
      <c r="P118" s="190"/>
      <c r="Q118" s="190"/>
      <c r="R118" s="190"/>
      <c r="S118" s="190"/>
      <c r="T118" s="190"/>
      <c r="U118" s="190"/>
      <c r="V118" s="207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</row>
    <row r="119" spans="7:186" x14ac:dyDescent="0.25">
      <c r="G119" s="208"/>
      <c r="H119" s="190"/>
      <c r="I119" s="190"/>
      <c r="J119" s="190"/>
      <c r="K119" s="190"/>
      <c r="L119" s="190"/>
      <c r="M119" s="190"/>
      <c r="N119" s="190"/>
      <c r="O119" s="190"/>
      <c r="P119" s="190"/>
      <c r="Q119" s="190"/>
      <c r="R119" s="190"/>
      <c r="S119" s="190"/>
      <c r="T119" s="190"/>
      <c r="U119" s="190"/>
      <c r="V119" s="207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</row>
    <row r="120" spans="7:186" x14ac:dyDescent="0.25">
      <c r="G120" s="206"/>
      <c r="H120" s="190"/>
      <c r="I120" s="190"/>
      <c r="J120" s="190"/>
      <c r="K120" s="190"/>
      <c r="L120" s="190"/>
      <c r="M120" s="190"/>
      <c r="N120" s="190"/>
      <c r="O120" s="190"/>
      <c r="P120" s="190"/>
      <c r="Q120" s="190"/>
      <c r="R120" s="190"/>
      <c r="S120" s="190"/>
      <c r="T120" s="190"/>
      <c r="U120" s="190"/>
      <c r="V120" s="207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</row>
    <row r="121" spans="7:186" x14ac:dyDescent="0.25">
      <c r="G121" s="206"/>
      <c r="H121" s="190"/>
      <c r="I121" s="190"/>
      <c r="J121" s="190"/>
      <c r="K121" s="190"/>
      <c r="L121" s="190"/>
      <c r="M121" s="190"/>
      <c r="N121" s="190"/>
      <c r="O121" s="190"/>
      <c r="P121" s="190"/>
      <c r="Q121" s="190"/>
      <c r="R121" s="190"/>
      <c r="S121" s="190"/>
      <c r="T121" s="190"/>
      <c r="U121" s="190"/>
      <c r="V121" s="207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</row>
    <row r="122" spans="7:186" x14ac:dyDescent="0.25">
      <c r="G122" s="206"/>
      <c r="H122" s="190"/>
      <c r="I122" s="190"/>
      <c r="J122" s="190"/>
      <c r="K122" s="190"/>
      <c r="L122" s="190"/>
      <c r="M122" s="190"/>
      <c r="N122" s="190"/>
      <c r="O122" s="190"/>
      <c r="P122" s="190"/>
      <c r="Q122" s="190"/>
      <c r="R122" s="190"/>
      <c r="S122" s="190"/>
      <c r="T122" s="190"/>
      <c r="U122" s="190"/>
      <c r="V122" s="207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</row>
    <row r="123" spans="7:186" x14ac:dyDescent="0.25">
      <c r="G123" s="206"/>
      <c r="H123" s="190"/>
      <c r="I123" s="190"/>
      <c r="J123" s="190"/>
      <c r="K123" s="190"/>
      <c r="L123" s="190"/>
      <c r="M123" s="190"/>
      <c r="N123" s="190"/>
      <c r="O123" s="190"/>
      <c r="P123" s="190"/>
      <c r="Q123" s="190"/>
      <c r="R123" s="190"/>
      <c r="S123" s="190"/>
      <c r="T123" s="190"/>
      <c r="U123" s="190"/>
      <c r="V123" s="207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</row>
    <row r="124" spans="7:186" x14ac:dyDescent="0.25">
      <c r="G124" s="206"/>
      <c r="H124" s="190"/>
      <c r="I124" s="190"/>
      <c r="J124" s="190"/>
      <c r="K124" s="190"/>
      <c r="L124" s="190"/>
      <c r="M124" s="190"/>
      <c r="N124" s="190"/>
      <c r="O124" s="190"/>
      <c r="P124" s="190"/>
      <c r="Q124" s="190"/>
      <c r="R124" s="190"/>
      <c r="S124" s="190"/>
      <c r="T124" s="190"/>
      <c r="U124" s="190"/>
      <c r="V124" s="207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</row>
    <row r="125" spans="7:186" x14ac:dyDescent="0.25">
      <c r="G125" s="206"/>
      <c r="H125" s="190"/>
      <c r="I125" s="190"/>
      <c r="J125" s="190"/>
      <c r="K125" s="190"/>
      <c r="L125" s="190"/>
      <c r="M125" s="190"/>
      <c r="N125" s="190"/>
      <c r="O125" s="190"/>
      <c r="P125" s="190"/>
      <c r="Q125" s="190"/>
      <c r="R125" s="190"/>
      <c r="S125" s="190"/>
      <c r="T125" s="190"/>
      <c r="U125" s="190"/>
      <c r="V125" s="207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</row>
    <row r="126" spans="7:186" x14ac:dyDescent="0.25">
      <c r="G126" s="206"/>
      <c r="H126" s="190"/>
      <c r="I126" s="190"/>
      <c r="J126" s="190"/>
      <c r="K126" s="190"/>
      <c r="L126" s="190"/>
      <c r="M126" s="190"/>
      <c r="N126" s="190"/>
      <c r="O126" s="190"/>
      <c r="P126" s="190"/>
      <c r="Q126" s="190"/>
      <c r="R126" s="190"/>
      <c r="S126" s="190"/>
      <c r="T126" s="190"/>
      <c r="U126" s="190"/>
      <c r="V126" s="207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</row>
    <row r="127" spans="7:186" x14ac:dyDescent="0.25">
      <c r="G127" s="206"/>
      <c r="H127" s="190"/>
      <c r="I127" s="190"/>
      <c r="J127" s="190"/>
      <c r="K127" s="190"/>
      <c r="L127" s="190"/>
      <c r="M127" s="190"/>
      <c r="N127" s="190"/>
      <c r="O127" s="190"/>
      <c r="P127" s="190"/>
      <c r="Q127" s="190"/>
      <c r="R127" s="190"/>
      <c r="S127" s="190"/>
      <c r="T127" s="190"/>
      <c r="U127" s="190"/>
      <c r="V127" s="207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</row>
    <row r="128" spans="7:186" x14ac:dyDescent="0.25">
      <c r="G128" s="206"/>
      <c r="H128" s="190"/>
      <c r="I128" s="190"/>
      <c r="J128" s="190"/>
      <c r="K128" s="190"/>
      <c r="L128" s="190"/>
      <c r="M128" s="190"/>
      <c r="N128" s="190"/>
      <c r="O128" s="190"/>
      <c r="P128" s="190"/>
      <c r="Q128" s="190"/>
      <c r="R128" s="190"/>
      <c r="S128" s="190"/>
      <c r="T128" s="190"/>
      <c r="U128" s="190"/>
      <c r="V128" s="207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</row>
    <row r="129" spans="7:186" x14ac:dyDescent="0.25">
      <c r="G129" s="206"/>
      <c r="H129" s="190"/>
      <c r="I129" s="190"/>
      <c r="J129" s="190"/>
      <c r="K129" s="190"/>
      <c r="L129" s="190"/>
      <c r="M129" s="190"/>
      <c r="N129" s="190"/>
      <c r="O129" s="190"/>
      <c r="P129" s="190"/>
      <c r="Q129" s="190"/>
      <c r="R129" s="190"/>
      <c r="S129" s="190"/>
      <c r="T129" s="190"/>
      <c r="U129" s="190"/>
      <c r="V129" s="207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</row>
    <row r="130" spans="7:186" x14ac:dyDescent="0.25">
      <c r="G130" s="206"/>
      <c r="H130" s="190"/>
      <c r="I130" s="190"/>
      <c r="J130" s="190"/>
      <c r="K130" s="190"/>
      <c r="L130" s="190"/>
      <c r="M130" s="190"/>
      <c r="N130" s="190"/>
      <c r="O130" s="190"/>
      <c r="P130" s="190"/>
      <c r="Q130" s="190"/>
      <c r="R130" s="190"/>
      <c r="S130" s="190"/>
      <c r="T130" s="190"/>
      <c r="U130" s="190"/>
      <c r="V130" s="207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</row>
    <row r="131" spans="7:186" x14ac:dyDescent="0.25">
      <c r="G131" s="206"/>
      <c r="H131" s="190"/>
      <c r="I131" s="190"/>
      <c r="J131" s="190"/>
      <c r="K131" s="190"/>
      <c r="L131" s="190"/>
      <c r="M131" s="190"/>
      <c r="N131" s="190"/>
      <c r="O131" s="190"/>
      <c r="P131" s="190"/>
      <c r="Q131" s="190"/>
      <c r="R131" s="190"/>
      <c r="S131" s="190"/>
      <c r="T131" s="190"/>
      <c r="U131" s="190"/>
      <c r="V131" s="207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</row>
    <row r="132" spans="7:186" x14ac:dyDescent="0.25">
      <c r="G132" s="206"/>
      <c r="H132" s="190"/>
      <c r="I132" s="190"/>
      <c r="J132" s="190"/>
      <c r="K132" s="190"/>
      <c r="L132" s="190"/>
      <c r="M132" s="190"/>
      <c r="N132" s="190"/>
      <c r="O132" s="190"/>
      <c r="P132" s="190"/>
      <c r="Q132" s="190"/>
      <c r="R132" s="190"/>
      <c r="S132" s="190"/>
      <c r="T132" s="190"/>
      <c r="U132" s="190"/>
      <c r="V132" s="207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</row>
    <row r="133" spans="7:186" x14ac:dyDescent="0.25">
      <c r="G133" s="206"/>
      <c r="H133" s="190"/>
      <c r="I133" s="190"/>
      <c r="J133" s="190"/>
      <c r="K133" s="190"/>
      <c r="L133" s="190"/>
      <c r="M133" s="190"/>
      <c r="N133" s="190"/>
      <c r="O133" s="190"/>
      <c r="P133" s="190"/>
      <c r="Q133" s="190"/>
      <c r="R133" s="190"/>
      <c r="S133" s="190"/>
      <c r="T133" s="190"/>
      <c r="U133" s="190"/>
      <c r="V133" s="207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</row>
    <row r="134" spans="7:186" x14ac:dyDescent="0.25">
      <c r="G134" s="206"/>
      <c r="H134" s="190"/>
      <c r="I134" s="190"/>
      <c r="J134" s="190"/>
      <c r="K134" s="190"/>
      <c r="L134" s="190"/>
      <c r="M134" s="190"/>
      <c r="N134" s="190"/>
      <c r="O134" s="190"/>
      <c r="P134" s="190"/>
      <c r="Q134" s="190"/>
      <c r="R134" s="190"/>
      <c r="S134" s="190"/>
      <c r="T134" s="190"/>
      <c r="U134" s="190"/>
      <c r="V134" s="207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</row>
    <row r="135" spans="7:186" x14ac:dyDescent="0.25">
      <c r="G135" s="206"/>
      <c r="H135" s="190"/>
      <c r="I135" s="190"/>
      <c r="J135" s="190"/>
      <c r="K135" s="190"/>
      <c r="L135" s="190"/>
      <c r="M135" s="190"/>
      <c r="N135" s="190"/>
      <c r="O135" s="190"/>
      <c r="P135" s="190"/>
      <c r="Q135" s="190"/>
      <c r="R135" s="190"/>
      <c r="S135" s="190"/>
      <c r="T135" s="190"/>
      <c r="U135" s="190"/>
      <c r="V135" s="207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</row>
    <row r="136" spans="7:186" x14ac:dyDescent="0.25">
      <c r="G136" s="206"/>
      <c r="H136" s="190"/>
      <c r="I136" s="190"/>
      <c r="J136" s="190"/>
      <c r="K136" s="190"/>
      <c r="L136" s="190"/>
      <c r="M136" s="190"/>
      <c r="N136" s="190"/>
      <c r="O136" s="190"/>
      <c r="P136" s="190"/>
      <c r="Q136" s="190"/>
      <c r="R136" s="190"/>
      <c r="S136" s="190"/>
      <c r="T136" s="190"/>
      <c r="U136" s="190"/>
      <c r="V136" s="207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</row>
    <row r="137" spans="7:186" x14ac:dyDescent="0.25">
      <c r="G137" s="206"/>
      <c r="H137" s="190"/>
      <c r="I137" s="190"/>
      <c r="J137" s="190"/>
      <c r="K137" s="190"/>
      <c r="L137" s="190"/>
      <c r="M137" s="190"/>
      <c r="N137" s="190"/>
      <c r="O137" s="190"/>
      <c r="P137" s="190"/>
      <c r="Q137" s="190"/>
      <c r="R137" s="190"/>
      <c r="S137" s="190"/>
      <c r="T137" s="190"/>
      <c r="U137" s="190"/>
      <c r="V137" s="207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</row>
    <row r="138" spans="7:186" x14ac:dyDescent="0.25">
      <c r="G138" s="206"/>
      <c r="H138" s="190"/>
      <c r="I138" s="190"/>
      <c r="J138" s="190"/>
      <c r="K138" s="190"/>
      <c r="L138" s="190"/>
      <c r="M138" s="190"/>
      <c r="N138" s="190"/>
      <c r="O138" s="190"/>
      <c r="P138" s="190"/>
      <c r="Q138" s="190"/>
      <c r="R138" s="190"/>
      <c r="S138" s="190"/>
      <c r="T138" s="190"/>
      <c r="U138" s="190"/>
      <c r="V138" s="207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</row>
    <row r="139" spans="7:186" x14ac:dyDescent="0.25">
      <c r="G139" s="206"/>
      <c r="H139" s="190"/>
      <c r="I139" s="190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207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</row>
    <row r="140" spans="7:186" x14ac:dyDescent="0.25">
      <c r="G140" s="206"/>
      <c r="H140" s="190"/>
      <c r="I140" s="190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207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</row>
    <row r="141" spans="7:186" x14ac:dyDescent="0.25">
      <c r="G141" s="206"/>
      <c r="H141" s="190"/>
      <c r="I141" s="190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207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</row>
    <row r="142" spans="7:186" x14ac:dyDescent="0.25">
      <c r="G142" s="206"/>
      <c r="H142" s="190"/>
      <c r="I142" s="190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207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</row>
    <row r="143" spans="7:186" x14ac:dyDescent="0.25">
      <c r="G143" s="206"/>
      <c r="H143" s="190"/>
      <c r="I143" s="190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207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</row>
    <row r="144" spans="7:186" x14ac:dyDescent="0.25">
      <c r="G144" s="206"/>
      <c r="H144" s="190"/>
      <c r="I144" s="190"/>
      <c r="J144" s="190"/>
      <c r="K144" s="190"/>
      <c r="L144" s="190"/>
      <c r="M144" s="190"/>
      <c r="N144" s="190"/>
      <c r="O144" s="190"/>
      <c r="P144" s="190"/>
      <c r="Q144" s="190"/>
      <c r="R144" s="190"/>
      <c r="S144" s="190"/>
      <c r="T144" s="190"/>
      <c r="U144" s="190"/>
      <c r="V144" s="207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</row>
    <row r="145" spans="7:186" x14ac:dyDescent="0.25">
      <c r="G145" s="206"/>
      <c r="H145" s="190"/>
      <c r="I145" s="190"/>
      <c r="J145" s="190"/>
      <c r="K145" s="190"/>
      <c r="L145" s="190"/>
      <c r="M145" s="190"/>
      <c r="N145" s="190"/>
      <c r="O145" s="190"/>
      <c r="P145" s="190"/>
      <c r="Q145" s="190"/>
      <c r="R145" s="190"/>
      <c r="S145" s="190"/>
      <c r="T145" s="190"/>
      <c r="U145" s="190"/>
      <c r="V145" s="207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</row>
    <row r="146" spans="7:186" x14ac:dyDescent="0.25">
      <c r="G146" s="209"/>
      <c r="H146" s="190"/>
      <c r="I146" s="190"/>
      <c r="J146" s="190"/>
      <c r="K146" s="190"/>
      <c r="L146" s="190"/>
      <c r="M146" s="190"/>
      <c r="N146" s="190"/>
      <c r="O146" s="190"/>
      <c r="P146" s="190"/>
      <c r="Q146" s="190"/>
      <c r="R146" s="190"/>
      <c r="S146" s="190"/>
      <c r="T146" s="190"/>
      <c r="U146" s="190"/>
      <c r="V146" s="207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</row>
    <row r="147" spans="7:186" x14ac:dyDescent="0.25">
      <c r="G147" s="209"/>
      <c r="H147" s="190"/>
      <c r="I147" s="190"/>
      <c r="J147" s="190"/>
      <c r="K147" s="190"/>
      <c r="L147" s="190"/>
      <c r="M147" s="190"/>
      <c r="N147" s="190"/>
      <c r="O147" s="190"/>
      <c r="P147" s="190"/>
      <c r="Q147" s="190"/>
      <c r="R147" s="190"/>
      <c r="S147" s="190"/>
      <c r="T147" s="190"/>
      <c r="U147" s="190"/>
      <c r="V147" s="207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</row>
    <row r="148" spans="7:186" x14ac:dyDescent="0.25">
      <c r="G148" s="209"/>
      <c r="H148" s="190"/>
      <c r="I148" s="190"/>
      <c r="J148" s="190"/>
      <c r="K148" s="190"/>
      <c r="L148" s="190"/>
      <c r="M148" s="190"/>
      <c r="N148" s="190"/>
      <c r="O148" s="190"/>
      <c r="P148" s="190"/>
      <c r="Q148" s="190"/>
      <c r="R148" s="190"/>
      <c r="S148" s="190"/>
      <c r="T148" s="190"/>
      <c r="U148" s="190"/>
      <c r="V148" s="207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</row>
    <row r="149" spans="7:186" x14ac:dyDescent="0.25">
      <c r="G149" s="210"/>
      <c r="H149" s="211"/>
      <c r="I149" s="211"/>
      <c r="J149" s="211"/>
      <c r="K149" s="211"/>
      <c r="L149" s="211"/>
      <c r="M149" s="211"/>
      <c r="N149" s="211"/>
      <c r="O149" s="211"/>
      <c r="P149" s="211"/>
      <c r="Q149" s="211"/>
      <c r="R149" s="211"/>
      <c r="S149" s="211"/>
      <c r="T149" s="211"/>
      <c r="U149" s="211"/>
      <c r="V149" s="13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</row>
    <row r="150" spans="7:186" x14ac:dyDescent="0.25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</row>
    <row r="151" spans="7:186" x14ac:dyDescent="0.25">
      <c r="G151" s="212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16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</row>
    <row r="152" spans="7:186" x14ac:dyDescent="0.25">
      <c r="G152" s="214"/>
      <c r="H152" s="215">
        <f>H130</f>
        <v>-95295.2746242439</v>
      </c>
      <c r="I152" s="215">
        <f t="shared" ref="I152:V152" si="80">I130</f>
        <v>1155492.23614432</v>
      </c>
      <c r="J152" s="215"/>
      <c r="K152" s="215"/>
      <c r="L152" s="215"/>
      <c r="M152" s="215"/>
      <c r="N152" s="215"/>
      <c r="O152" s="215"/>
      <c r="P152" s="215"/>
      <c r="Q152" s="215"/>
      <c r="R152" s="215"/>
      <c r="S152" s="215"/>
      <c r="T152" s="215"/>
      <c r="U152" s="215"/>
      <c r="V152" s="215"/>
      <c r="W152" s="16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</row>
    <row r="153" spans="7:186" x14ac:dyDescent="0.25">
      <c r="G153" s="216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  <c r="W153" s="16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</row>
    <row r="154" spans="7:186" x14ac:dyDescent="0.25">
      <c r="G154" s="218"/>
      <c r="H154" s="219">
        <f t="shared" ref="H154:V154" si="81">IF(H151=($D$34+1),-H153,0)</f>
        <v>0</v>
      </c>
      <c r="I154" s="219"/>
      <c r="J154" s="219"/>
      <c r="K154" s="219"/>
      <c r="L154" s="219"/>
      <c r="M154" s="219"/>
      <c r="N154" s="219"/>
      <c r="O154" s="219"/>
      <c r="P154" s="219"/>
      <c r="Q154" s="219"/>
      <c r="R154" s="219"/>
      <c r="S154" s="219"/>
      <c r="T154" s="219"/>
      <c r="U154" s="219"/>
      <c r="V154" s="219"/>
      <c r="W154" s="16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</row>
    <row r="155" spans="7:186" x14ac:dyDescent="0.25">
      <c r="G155" s="220"/>
      <c r="H155" s="221">
        <f>+H152+H154</f>
        <v>-95295.2746242439</v>
      </c>
      <c r="I155" s="221">
        <f t="shared" ref="I155:V155" si="82">+I152+I154</f>
        <v>1155492.23614432</v>
      </c>
      <c r="J155" s="221"/>
      <c r="K155" s="221"/>
      <c r="L155" s="221"/>
      <c r="M155" s="221"/>
      <c r="N155" s="221"/>
      <c r="O155" s="221"/>
      <c r="P155" s="221"/>
      <c r="Q155" s="221"/>
      <c r="R155" s="221"/>
      <c r="S155" s="221"/>
      <c r="T155" s="221"/>
      <c r="U155" s="221"/>
      <c r="V155" s="221"/>
      <c r="W155" s="16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</row>
    <row r="156" spans="7:186" x14ac:dyDescent="0.25">
      <c r="G156" s="1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6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</row>
    <row r="157" spans="7:186" x14ac:dyDescent="0.25">
      <c r="G157" s="216"/>
      <c r="H157" s="222">
        <f>H133</f>
        <v>327143.45</v>
      </c>
      <c r="I157" s="222">
        <f t="shared" ref="I157:V157" si="83">I133</f>
        <v>0</v>
      </c>
      <c r="J157" s="222"/>
      <c r="K157" s="222"/>
      <c r="L157" s="222"/>
      <c r="M157" s="222"/>
      <c r="N157" s="222"/>
      <c r="O157" s="222"/>
      <c r="P157" s="222"/>
      <c r="Q157" s="222"/>
      <c r="R157" s="222"/>
      <c r="S157" s="222"/>
      <c r="T157" s="222"/>
      <c r="U157" s="222"/>
      <c r="V157" s="222"/>
      <c r="W157" s="16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</row>
    <row r="158" spans="7:186" x14ac:dyDescent="0.25">
      <c r="G158" s="216"/>
      <c r="H158" s="222">
        <f>H134</f>
        <v>552586.680676639</v>
      </c>
      <c r="I158" s="222">
        <f t="shared" ref="I158:V158" si="84">I134</f>
        <v>0</v>
      </c>
      <c r="J158" s="222"/>
      <c r="K158" s="222"/>
      <c r="L158" s="222"/>
      <c r="M158" s="222"/>
      <c r="N158" s="222"/>
      <c r="O158" s="222"/>
      <c r="P158" s="222"/>
      <c r="Q158" s="222"/>
      <c r="R158" s="222"/>
      <c r="S158" s="222"/>
      <c r="T158" s="222"/>
      <c r="U158" s="222"/>
      <c r="V158" s="222"/>
      <c r="W158" s="16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</row>
    <row r="159" spans="7:186" x14ac:dyDescent="0.25">
      <c r="G159" s="216"/>
      <c r="H159" s="222">
        <f>H138</f>
        <v>16198.365</v>
      </c>
      <c r="I159" s="222">
        <f t="shared" ref="I159:V159" si="85">I138</f>
        <v>16684.31595</v>
      </c>
      <c r="J159" s="222"/>
      <c r="K159" s="222"/>
      <c r="L159" s="222"/>
      <c r="M159" s="222"/>
      <c r="N159" s="222"/>
      <c r="O159" s="222"/>
      <c r="P159" s="222"/>
      <c r="Q159" s="222"/>
      <c r="R159" s="222"/>
      <c r="S159" s="222"/>
      <c r="T159" s="222"/>
      <c r="U159" s="222"/>
      <c r="V159" s="222"/>
      <c r="W159" s="16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</row>
    <row r="160" spans="7:186" x14ac:dyDescent="0.25">
      <c r="G160" s="216"/>
      <c r="H160" s="223">
        <f>H139</f>
        <v>952845</v>
      </c>
      <c r="I160" s="223">
        <f t="shared" ref="I160:V160" si="86">I139</f>
        <v>0</v>
      </c>
      <c r="J160" s="223"/>
      <c r="K160" s="223"/>
      <c r="L160" s="223"/>
      <c r="M160" s="223"/>
      <c r="N160" s="223"/>
      <c r="O160" s="223"/>
      <c r="P160" s="223"/>
      <c r="Q160" s="223"/>
      <c r="R160" s="223"/>
      <c r="S160" s="223"/>
      <c r="T160" s="223"/>
      <c r="U160" s="223"/>
      <c r="V160" s="223"/>
      <c r="W160" s="16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</row>
    <row r="161" spans="7:186" x14ac:dyDescent="0.25">
      <c r="G161" s="224"/>
      <c r="H161" s="188"/>
      <c r="I161" s="188"/>
      <c r="J161" s="188"/>
      <c r="K161" s="188"/>
      <c r="L161" s="188"/>
      <c r="M161" s="188"/>
      <c r="N161" s="188"/>
      <c r="O161" s="188"/>
      <c r="P161" s="188"/>
      <c r="Q161" s="188"/>
      <c r="R161" s="188"/>
      <c r="S161" s="188"/>
      <c r="T161" s="188"/>
      <c r="U161" s="188"/>
      <c r="V161" s="188"/>
      <c r="W161" s="16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</row>
    <row r="162" spans="7:186" x14ac:dyDescent="0.25">
      <c r="G162" s="216"/>
      <c r="H162" s="222">
        <f>H155-SUM(H157:H160)</f>
        <v>-1944068.7703008829</v>
      </c>
      <c r="I162" s="222">
        <f t="shared" ref="I162:V162" si="87">I155-SUM(I157:I160)</f>
        <v>1138807.9201943201</v>
      </c>
      <c r="J162" s="222"/>
      <c r="K162" s="222"/>
      <c r="L162" s="222"/>
      <c r="M162" s="222"/>
      <c r="N162" s="222"/>
      <c r="O162" s="222"/>
      <c r="P162" s="222"/>
      <c r="Q162" s="222"/>
      <c r="R162" s="222"/>
      <c r="S162" s="222"/>
      <c r="T162" s="222"/>
      <c r="U162" s="222"/>
      <c r="V162" s="222"/>
      <c r="W162" s="16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</row>
    <row r="163" spans="7:186" x14ac:dyDescent="0.25">
      <c r="G163" s="224"/>
      <c r="H163" s="188"/>
      <c r="I163" s="188"/>
      <c r="J163" s="188"/>
      <c r="K163" s="188"/>
      <c r="L163" s="188"/>
      <c r="M163" s="188"/>
      <c r="N163" s="188"/>
      <c r="O163" s="188"/>
      <c r="P163" s="188"/>
      <c r="Q163" s="188"/>
      <c r="R163" s="188"/>
      <c r="S163" s="188"/>
      <c r="T163" s="188"/>
      <c r="U163" s="188"/>
      <c r="V163" s="188"/>
      <c r="W163" s="16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</row>
    <row r="164" spans="7:186" x14ac:dyDescent="0.25">
      <c r="G164" s="225"/>
      <c r="H164" s="190"/>
      <c r="I164" s="190"/>
      <c r="J164" s="190"/>
      <c r="K164" s="190"/>
      <c r="L164" s="190"/>
      <c r="M164" s="190"/>
      <c r="N164" s="190"/>
      <c r="O164" s="190"/>
      <c r="P164" s="190"/>
      <c r="Q164" s="190"/>
      <c r="R164" s="190"/>
      <c r="S164" s="190"/>
      <c r="T164" s="190"/>
      <c r="U164" s="190"/>
      <c r="V164" s="190"/>
      <c r="W164" s="16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</row>
    <row r="165" spans="7:186" x14ac:dyDescent="0.25">
      <c r="G165" s="224"/>
      <c r="H165" s="188"/>
      <c r="I165" s="188"/>
      <c r="J165" s="188"/>
      <c r="K165" s="188"/>
      <c r="L165" s="188"/>
      <c r="M165" s="188"/>
      <c r="N165" s="190"/>
      <c r="O165" s="188"/>
      <c r="P165" s="188"/>
      <c r="Q165" s="188"/>
      <c r="R165" s="188"/>
      <c r="S165" s="188"/>
      <c r="T165" s="188"/>
      <c r="U165" s="188"/>
      <c r="V165" s="188"/>
      <c r="W165" s="16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</row>
    <row r="166" spans="7:186" x14ac:dyDescent="0.25">
      <c r="G166" s="225"/>
      <c r="H166" s="149">
        <f>ROUND(H162-H154-H164,0)</f>
        <v>0</v>
      </c>
      <c r="I166" s="149">
        <f t="shared" ref="I166:V166" si="88">ROUND(I162-I154-I164,0)</f>
        <v>0</v>
      </c>
      <c r="J166" s="149"/>
      <c r="K166" s="149"/>
      <c r="L166" s="149"/>
      <c r="M166" s="149"/>
      <c r="N166" s="149"/>
      <c r="O166" s="149"/>
      <c r="P166" s="149"/>
      <c r="Q166" s="149"/>
      <c r="R166" s="149"/>
      <c r="S166" s="149"/>
      <c r="T166" s="149"/>
      <c r="U166" s="149"/>
      <c r="V166" s="149"/>
      <c r="W166" s="16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</row>
    <row r="167" spans="7:186" x14ac:dyDescent="0.25">
      <c r="G167" s="1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6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</row>
    <row r="168" spans="7:186" x14ac:dyDescent="0.25">
      <c r="G168" s="216"/>
      <c r="H168" s="226">
        <f>H149</f>
        <v>0.5</v>
      </c>
      <c r="I168" s="226">
        <f t="shared" ref="I168:V168" si="89">I149</f>
        <v>1</v>
      </c>
      <c r="J168" s="226"/>
      <c r="K168" s="226"/>
      <c r="L168" s="226"/>
      <c r="M168" s="226"/>
      <c r="N168" s="226"/>
      <c r="O168" s="226"/>
      <c r="P168" s="226"/>
      <c r="Q168" s="226"/>
      <c r="R168" s="226"/>
      <c r="S168" s="226"/>
      <c r="T168" s="226"/>
      <c r="U168" s="226"/>
      <c r="V168" s="226"/>
      <c r="W168" s="16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</row>
    <row r="169" spans="7:186" x14ac:dyDescent="0.25">
      <c r="G169" s="1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6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</row>
    <row r="170" spans="7:186" x14ac:dyDescent="0.25">
      <c r="G170" s="216"/>
      <c r="H170" s="227"/>
      <c r="I170" s="227"/>
      <c r="J170" s="227"/>
      <c r="K170" s="227"/>
      <c r="L170" s="227"/>
      <c r="M170" s="227"/>
      <c r="N170" s="227"/>
      <c r="O170" s="227"/>
      <c r="P170" s="227"/>
      <c r="Q170" s="227"/>
      <c r="R170" s="227"/>
      <c r="S170" s="227"/>
      <c r="T170" s="227"/>
      <c r="U170" s="227"/>
      <c r="V170" s="227"/>
      <c r="W170" s="16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</row>
    <row r="171" spans="7:186" x14ac:dyDescent="0.25">
      <c r="G171" s="224"/>
      <c r="H171" s="188"/>
      <c r="I171" s="228">
        <f>(I170-H170)/H170</f>
        <v>0</v>
      </c>
      <c r="J171" s="228">
        <f t="shared" ref="J171:V171" si="90">(J170-I170)/I170</f>
        <v>0.0302702702702702</v>
      </c>
      <c r="K171" s="228"/>
      <c r="L171" s="228"/>
      <c r="M171" s="228"/>
      <c r="N171" s="228"/>
      <c r="O171" s="228">
        <f>(O170-N170)/N170</f>
        <v>0.029836829836829865</v>
      </c>
      <c r="P171" s="228">
        <f>(P170-O170)/O170</f>
        <v>0.029877772747849713</v>
      </c>
      <c r="Q171" s="228"/>
      <c r="R171" s="228"/>
      <c r="S171" s="228"/>
      <c r="T171" s="228"/>
      <c r="U171" s="228"/>
      <c r="V171" s="228"/>
      <c r="W171" s="16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</row>
    <row r="172" spans="7:186" x14ac:dyDescent="0.25">
      <c r="G172" s="218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16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</row>
    <row r="173" spans="7:186" x14ac:dyDescent="0.25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</row>
    <row r="174" spans="7:186" x14ac:dyDescent="0.25">
      <c r="G174" s="185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5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</row>
    <row r="175" spans="7:186" x14ac:dyDescent="0.25">
      <c r="G175" s="16"/>
      <c r="H175" s="56">
        <f>+D23</f>
        <v>7488143.837240821</v>
      </c>
      <c r="I175" s="56">
        <f>+H179</f>
        <v>7488143.837240821</v>
      </c>
      <c r="J175" s="56">
        <f t="shared" ref="J175:V175" si="91">+I179</f>
        <v>7488143.837240821</v>
      </c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230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</row>
    <row r="176" spans="7:186" x14ac:dyDescent="0.25">
      <c r="G176" s="16"/>
      <c r="H176" s="56">
        <f t="shared" ref="H176:V176" si="92">12*-PMT($D$24/12,$D$25*12,$H$175)</f>
        <v>551215.8078964322</v>
      </c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230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</row>
    <row r="177" spans="7:186" x14ac:dyDescent="0.25">
      <c r="G177" s="16"/>
      <c r="H177" s="56">
        <f>H176-H178</f>
        <v>551215.8078964322</v>
      </c>
      <c r="I177" s="56">
        <f t="shared" ref="I177:V177" si="93">I176-I178</f>
        <v>551215.8078964322</v>
      </c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230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</row>
    <row r="178" spans="7:186" x14ac:dyDescent="0.25">
      <c r="G178" s="16"/>
      <c r="H178" s="56">
        <f t="shared" ref="H178:V178" si="94">-CUMPRINC($D$24/12,$D$25*12,$H$175,H151*12-11,H151*12,0)</f>
        <v>0</v>
      </c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230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</row>
    <row r="179" spans="7:186" x14ac:dyDescent="0.25">
      <c r="G179" s="16"/>
      <c r="H179" s="56">
        <f>+H175-H178</f>
        <v>7488143.837240821</v>
      </c>
      <c r="I179" s="56">
        <f t="shared" ref="I179:V179" si="95">+I175-I178</f>
        <v>7488143.837240821</v>
      </c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230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</row>
    <row r="180" spans="7:186" x14ac:dyDescent="0.25">
      <c r="G180" s="1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60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</row>
    <row r="181" spans="7:186" x14ac:dyDescent="0.25">
      <c r="G181" s="23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60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</row>
    <row r="182" spans="7:186" x14ac:dyDescent="0.25">
      <c r="G182" s="16"/>
      <c r="H182" s="56">
        <f>IFERROR(SUM(H160)*$E$26,0)</f>
        <v>0</v>
      </c>
      <c r="I182" s="56">
        <f>IFERROR(SUM(I160)*$E$26,0)+H200</f>
        <v>0</v>
      </c>
      <c r="J182" s="56">
        <f t="shared" ref="J182:V182" si="96">IFERROR(SUM(J160)*$E$26,0)+I200</f>
        <v>0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230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</row>
    <row r="183" spans="7:186" x14ac:dyDescent="0.25">
      <c r="G183" s="16"/>
      <c r="H183" s="56">
        <f>12*-PMT($D$27/12,$D$28*12,SUM(H160)*$E$26)</f>
        <v>0</v>
      </c>
      <c r="I183" s="56">
        <f>H183+12*-PMT($D$27/12,$D$28*12,SUM(I160)*$E$26)</f>
        <v>0</v>
      </c>
      <c r="J183" s="56">
        <f t="shared" ref="J183:V183" si="97">I183+12*-PMT($D$27/12,$D$28*12,SUM(J160)*$E$26)</f>
        <v>0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230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</row>
    <row r="184" spans="7:186" x14ac:dyDescent="0.25">
      <c r="G184" s="16"/>
      <c r="H184" s="56">
        <f>H183-SUM(H185:H199)</f>
        <v>0</v>
      </c>
      <c r="I184" s="56">
        <f t="shared" ref="I184:V184" si="98">I183-SUM(I185:I199)</f>
        <v>0</v>
      </c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230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</row>
    <row r="185" spans="7:186" x14ac:dyDescent="0.25">
      <c r="G185" s="16"/>
      <c r="H185" s="56">
        <f t="shared" ref="H185:V185" si="99">IFERROR(-CUMPRINC($D$27/12,$D$28*12,$H$182,H151*12-11,H151*12,0),0)</f>
        <v>0</v>
      </c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230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</row>
    <row r="186" spans="7:186" x14ac:dyDescent="0.25">
      <c r="G186" s="16"/>
      <c r="H186" s="56"/>
      <c r="I186" s="56">
        <f t="shared" ref="I186:V186" si="100">IFERROR(-CUMPRINC($D$27/12,$D$28*12,SUM($I$160)*$E$26,(I151-$H$151)*12-11,(I151-$H$151)*12,0),0)</f>
        <v>0</v>
      </c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230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</row>
    <row r="187" spans="7:186" x14ac:dyDescent="0.25">
      <c r="G187" s="16"/>
      <c r="H187" s="56"/>
      <c r="I187" s="56"/>
      <c r="J187" s="56">
        <f t="shared" ref="J187:V187" si="101">IFERROR(-CUMPRINC($D$27/12,$D$28*12,SUM($J$160)*$E$26,(J151-$I$151)*12-11,(J151-$I$151)*12,0),0)</f>
        <v>0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230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</row>
    <row r="188" spans="7:186" x14ac:dyDescent="0.25">
      <c r="G188" s="16"/>
      <c r="H188" s="56"/>
      <c r="I188" s="56"/>
      <c r="J188" s="56"/>
      <c r="K188" s="56">
        <f t="shared" ref="K188:V188" si="102">IFERROR(-CUMPRINC($D$27/12,$D$28*12,SUM($K$160)*$E$26,(K151-$J$151)*12-11,(K151-$J$151)*12,0),0)</f>
        <v>0</v>
      </c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230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</row>
    <row r="189" spans="7:186" x14ac:dyDescent="0.25">
      <c r="G189" s="16"/>
      <c r="H189" s="56"/>
      <c r="I189" s="56"/>
      <c r="J189" s="56"/>
      <c r="K189" s="56"/>
      <c r="L189" s="56">
        <f t="shared" ref="L189:V189" si="103">IFERROR(-CUMPRINC($D$27/12,$D$28*12,SUM($L$160)*$E$26,(L151-$K$151)*12-11,(L151-$K$151)*12,0),0)</f>
        <v>0</v>
      </c>
      <c r="M189" s="56"/>
      <c r="N189" s="56"/>
      <c r="O189" s="56"/>
      <c r="P189" s="56"/>
      <c r="Q189" s="56"/>
      <c r="R189" s="56"/>
      <c r="S189" s="56"/>
      <c r="T189" s="56"/>
      <c r="U189" s="56"/>
      <c r="V189" s="230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</row>
    <row r="190" spans="7:186" x14ac:dyDescent="0.25">
      <c r="G190" s="16"/>
      <c r="H190" s="56"/>
      <c r="I190" s="56"/>
      <c r="J190" s="56"/>
      <c r="K190" s="56"/>
      <c r="L190" s="56"/>
      <c r="M190" s="56">
        <f t="shared" ref="M190:V190" si="104">IFERROR(-CUMPRINC($D$27/12,$D$28*12,SUM($M$160)*$E$26,(M151-$L$151)*12-11,(M151-$L$151)*12,0),0)</f>
        <v>0</v>
      </c>
      <c r="N190" s="56"/>
      <c r="O190" s="56"/>
      <c r="P190" s="56"/>
      <c r="Q190" s="56"/>
      <c r="R190" s="56"/>
      <c r="S190" s="56"/>
      <c r="T190" s="56"/>
      <c r="U190" s="56"/>
      <c r="V190" s="230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</row>
    <row r="191" spans="7:186" x14ac:dyDescent="0.25">
      <c r="G191" s="16"/>
      <c r="H191" s="56"/>
      <c r="I191" s="56"/>
      <c r="J191" s="56"/>
      <c r="K191" s="56"/>
      <c r="L191" s="56"/>
      <c r="M191" s="56"/>
      <c r="N191" s="56">
        <f t="shared" ref="N191:V191" si="105">IFERROR(-CUMPRINC($D$27/12,$D$28*12,SUM($N$160)*$E$26,(N151-$M$151)*12-11,(N151-$M$151)*12,0),0)</f>
        <v>0</v>
      </c>
      <c r="O191" s="56"/>
      <c r="P191" s="56"/>
      <c r="Q191" s="56"/>
      <c r="R191" s="56"/>
      <c r="S191" s="56"/>
      <c r="T191" s="56"/>
      <c r="U191" s="56"/>
      <c r="V191" s="230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</row>
    <row r="192" spans="7:186" x14ac:dyDescent="0.25">
      <c r="G192" s="16"/>
      <c r="H192" s="56"/>
      <c r="I192" s="56"/>
      <c r="J192" s="56"/>
      <c r="K192" s="56"/>
      <c r="L192" s="56"/>
      <c r="M192" s="56"/>
      <c r="N192" s="56"/>
      <c r="O192" s="56">
        <f t="shared" ref="O192:V192" si="106">IFERROR(-CUMPRINC($D$27/12,$D$28*12,SUM($O$160)*$E$26,(O151-$N$151)*12-11,(O151-$N$151)*12,0),0)</f>
        <v>0</v>
      </c>
      <c r="P192" s="56"/>
      <c r="Q192" s="56"/>
      <c r="R192" s="56"/>
      <c r="S192" s="56"/>
      <c r="T192" s="56"/>
      <c r="U192" s="56"/>
      <c r="V192" s="230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</row>
    <row r="193" spans="7:186" x14ac:dyDescent="0.25">
      <c r="G193" s="16"/>
      <c r="H193" s="56"/>
      <c r="I193" s="56"/>
      <c r="J193" s="56"/>
      <c r="K193" s="56"/>
      <c r="L193" s="56"/>
      <c r="M193" s="56"/>
      <c r="N193" s="56"/>
      <c r="O193" s="56"/>
      <c r="P193" s="56">
        <f t="shared" ref="P193:V193" si="107">IFERROR(-CUMPRINC($D$27/12,$D$28*12,SUM($P$160)*$E$26,(P151-$O$151)*12-11,(P151-$O$151)*12,0),0)</f>
        <v>0</v>
      </c>
      <c r="Q193" s="56"/>
      <c r="R193" s="56"/>
      <c r="S193" s="56"/>
      <c r="T193" s="56"/>
      <c r="U193" s="56"/>
      <c r="V193" s="230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</row>
    <row r="194" spans="7:186" x14ac:dyDescent="0.25">
      <c r="G194" s="16"/>
      <c r="H194" s="56"/>
      <c r="I194" s="56"/>
      <c r="J194" s="56"/>
      <c r="K194" s="56"/>
      <c r="L194" s="56"/>
      <c r="M194" s="56"/>
      <c r="N194" s="56"/>
      <c r="O194" s="56"/>
      <c r="P194" s="56"/>
      <c r="Q194" s="56">
        <f t="shared" ref="Q194:V194" si="108">IFERROR(-CUMPRINC($D$27/12,$D$28*12,SUM($Q$160)*$E$26,(Q151-$P$151)*12-11,(Q151-$P$151)*12,0),0)</f>
        <v>0</v>
      </c>
      <c r="R194" s="56"/>
      <c r="S194" s="56"/>
      <c r="T194" s="56"/>
      <c r="U194" s="56"/>
      <c r="V194" s="230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</row>
    <row r="195" spans="7:186" x14ac:dyDescent="0.25">
      <c r="G195" s="1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>
        <f>IFERROR(-CUMPRINC($D$27/12,$D$28*12,SUM($R$160)*$E$26,(R151-$Q$151)*12-11,(R151-$Q$151)*12,0),0)</f>
        <v>0</v>
      </c>
      <c r="S195" s="56">
        <f>IFERROR(-CUMPRINC($D$27/12,$D$28*12,SUM($R$160)*$E$26,(S151-$Q$151)*12-11,(S151-$Q$151)*12,0),0)</f>
        <v>0</v>
      </c>
      <c r="T195" s="56">
        <f>IFERROR(-CUMPRINC($D$27/12,$D$28*12,SUM($R$160)*$E$26,(T151-$Q$151)*12-11,(T151-$Q$151)*12,0),0)</f>
        <v>0</v>
      </c>
      <c r="U195" s="56">
        <f>IFERROR(-CUMPRINC($D$27/12,$D$28*12,SUM($R$160)*$E$26,(U151-$Q$151)*12-11,(U151-$Q$151)*12,0),0)</f>
        <v>0</v>
      </c>
      <c r="V195" s="230">
        <f>IFERROR(-CUMPRINC($D$27/12,$D$28*12,SUM($R$160)*$E$26,(V151-$Q$151)*12-11,(V151-$Q$151)*12,0),0)</f>
        <v>0</v>
      </c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</row>
    <row r="196" spans="7:186" x14ac:dyDescent="0.25">
      <c r="G196" s="1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>
        <f>IFERROR(-CUMPRINC($D$27/12,$D$28*12,SUM($S$160)*$E$26,(S151-$R$151)*12-11,(S151-$R$151)*12,0),0)</f>
        <v>0</v>
      </c>
      <c r="T196" s="56">
        <f>IFERROR(-CUMPRINC($D$27/12,$D$28*12,SUM($S$160)*$E$26,(T151-$R$151)*12-11,(T151-$R$151)*12,0),0)</f>
        <v>0</v>
      </c>
      <c r="U196" s="56">
        <f>IFERROR(-CUMPRINC($D$27/12,$D$28*12,SUM($S$160)*$E$26,(U151-$R$151)*12-11,(U151-$R$151)*12,0),0)</f>
        <v>0</v>
      </c>
      <c r="V196" s="230">
        <f>IFERROR(-CUMPRINC($D$27/12,$D$28*12,SUM($S$160)*$E$26,(V151-$R$151)*12-11,(V151-$R$151)*12,0),0)</f>
        <v>0</v>
      </c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</row>
    <row r="197" spans="7:186" x14ac:dyDescent="0.25">
      <c r="G197" s="1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>
        <f>IFERROR(-CUMPRINC($D$27/12,$D$28*12,SUM($T$160)*$E$26,(T151-$S$151)*12-11,(T151-$S$151)*12,0),0)</f>
        <v>0</v>
      </c>
      <c r="U197" s="56">
        <f>IFERROR(-CUMPRINC($D$27/12,$D$28*12,SUM($T$160)*$E$26,(U151-$S$151)*12-11,(U151-$S$151)*12,0),0)</f>
        <v>0</v>
      </c>
      <c r="V197" s="230">
        <f>IFERROR(-CUMPRINC($D$27/12,$D$28*12,SUM($T$160)*$E$26,(V151-$S$151)*12-11,(V151-$S$151)*12,0),0)</f>
        <v>0</v>
      </c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</row>
    <row r="198" spans="7:186" x14ac:dyDescent="0.25">
      <c r="G198" s="1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>
        <f>IFERROR(-CUMPRINC($D$27/12,$D$28*12,SUM($U$160)*$E$26,(U151-$T$151)*12-11,(U151-$T$151)*12,0),0)</f>
        <v>0</v>
      </c>
      <c r="V198" s="230">
        <f>IFERROR(-CUMPRINC($D$27/12,$D$28*12,SUM($U$160)*$E$26,(V151-$T$151)*12-11,(V151-$T$151)*12,0),0)</f>
        <v>0</v>
      </c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</row>
    <row r="199" spans="7:186" x14ac:dyDescent="0.25">
      <c r="G199" s="1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230">
        <f>IFERROR(-CUMPRINC($D$27/12,$D$28*12,SUM($V$160)*$E$26,(V151-$U$151)*12-11,(V151-$U$151)*12,0),0)</f>
        <v>0</v>
      </c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</row>
    <row r="200" spans="7:186" x14ac:dyDescent="0.25">
      <c r="G200" s="16"/>
      <c r="H200" s="56">
        <f>H182-SUM(H185:H199)</f>
        <v>0</v>
      </c>
      <c r="I200" s="56">
        <f t="shared" ref="I200:V200" si="109">I182-SUM(I185:I199)</f>
        <v>0</v>
      </c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230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</row>
    <row r="201" spans="7:186" x14ac:dyDescent="0.25">
      <c r="G201" s="1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60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</row>
    <row r="202" spans="7:186" x14ac:dyDescent="0.25">
      <c r="G202" s="23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60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</row>
    <row r="203" spans="7:186" x14ac:dyDescent="0.25">
      <c r="G203" s="16"/>
      <c r="H203" s="56">
        <f>IFERROR(SUM(H157:H158)*$E$26,0)</f>
        <v>0</v>
      </c>
      <c r="I203" s="56">
        <f>IFERROR(SUM(I157:I158)*$E$26,0)+H221</f>
        <v>0</v>
      </c>
      <c r="J203" s="56">
        <f t="shared" ref="J203:V203" si="110">IFERROR(SUM(J157:J158)*$E$26,0)+I221</f>
        <v>0</v>
      </c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230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</row>
    <row r="204" spans="7:186" x14ac:dyDescent="0.25">
      <c r="G204" s="16"/>
      <c r="H204" s="56">
        <f>12*-PMT($D$30/12,$D$31*12,SUM(H157:H158)*$E$29)</f>
        <v>38855.11538654721</v>
      </c>
      <c r="I204" s="56">
        <f>H204+12*-PMT($D$30/12,$D$31*12,SUM(I157:I158)*$E$29)</f>
        <v>38855.11538654721</v>
      </c>
      <c r="J204" s="56">
        <f t="shared" ref="J204:V204" si="111">I204+12*-PMT($D$30/12,$D$31*12,SUM(J157:J158)*$E$29)</f>
        <v>38855.11538654721</v>
      </c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230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</row>
    <row r="205" spans="7:186" x14ac:dyDescent="0.25">
      <c r="G205" s="16"/>
      <c r="H205" s="56">
        <f>H204-SUM(H206:H220)</f>
        <v>38855.11538654721</v>
      </c>
      <c r="I205" s="56">
        <f t="shared" ref="I205:V205" si="112">I204-SUM(I206:I220)</f>
        <v>38855.11538654721</v>
      </c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230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</row>
    <row r="206" spans="7:186" x14ac:dyDescent="0.25">
      <c r="G206" s="16"/>
      <c r="H206" s="56">
        <f t="shared" ref="H206:V206" si="113">IFERROR(-CUMPRINC($D$30/12,$D$31*12,$H$203,H151*12-11,H151*12,0),0)</f>
        <v>0</v>
      </c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230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</row>
    <row r="207" spans="7:186" x14ac:dyDescent="0.25">
      <c r="G207" s="16"/>
      <c r="H207" s="56"/>
      <c r="I207" s="56">
        <f t="shared" ref="I207:V207" si="114">IFERROR(-CUMPRINC($D$30/12,$D$31*12,SUM($I$157:$I$158)*$E$29,(I151-$H$151)*12-11,(I151-$H$151)*12,0),0)</f>
        <v>0</v>
      </c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230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</row>
    <row r="208" spans="7:186" x14ac:dyDescent="0.25">
      <c r="G208" s="16"/>
      <c r="H208" s="56"/>
      <c r="I208" s="56"/>
      <c r="J208" s="56">
        <f t="shared" ref="J208:V208" si="115">IFERROR(-CUMPRINC($D$30/12,$D$31*12,SUM($J$157:$J$158)*$E$29,(J151-$I$151)*12-11,(J151-$I$151)*12,0),0)</f>
        <v>0</v>
      </c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230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</row>
    <row r="209" spans="7:186" x14ac:dyDescent="0.25">
      <c r="G209" s="16"/>
      <c r="H209" s="56"/>
      <c r="I209" s="56"/>
      <c r="J209" s="56"/>
      <c r="K209" s="56">
        <f t="shared" ref="K209:V209" si="116">IFERROR(-CUMPRINC($D$30/12,$D$31*12,SUM($K$157:$K$158)*$E$29,(K151-$J$151)*12-11,(K151-$J$151)*12,0),0)</f>
        <v>0</v>
      </c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230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</row>
    <row r="210" spans="7:186" x14ac:dyDescent="0.25">
      <c r="G210" s="16"/>
      <c r="H210" s="56"/>
      <c r="I210" s="56"/>
      <c r="J210" s="56"/>
      <c r="K210" s="56"/>
      <c r="L210" s="56">
        <f t="shared" ref="L210:V210" si="117">IFERROR(-CUMPRINC($D$30/12,$D$31*12,SUM($L$157:$L$158)*$E$29,(L151-$K$151)*12-11,(L151-$K$151)*12,0),0)</f>
        <v>0</v>
      </c>
      <c r="M210" s="56"/>
      <c r="N210" s="56"/>
      <c r="O210" s="56"/>
      <c r="P210" s="56"/>
      <c r="Q210" s="56"/>
      <c r="R210" s="56"/>
      <c r="S210" s="56"/>
      <c r="T210" s="56"/>
      <c r="U210" s="56"/>
      <c r="V210" s="230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</row>
    <row r="211" spans="7:186" x14ac:dyDescent="0.25">
      <c r="G211" s="16"/>
      <c r="H211" s="56"/>
      <c r="I211" s="56"/>
      <c r="J211" s="56"/>
      <c r="K211" s="56"/>
      <c r="L211" s="56"/>
      <c r="M211" s="56">
        <f t="shared" ref="M211:V211" si="118">IFERROR(-CUMPRINC($D$30/12,$D$31*12,SUM($M$157:$M$158)*$E$29,(M151-$L$151)*12-11,(M151-$L$151)*12,0),0)</f>
        <v>0</v>
      </c>
      <c r="N211" s="56"/>
      <c r="O211" s="56"/>
      <c r="P211" s="56"/>
      <c r="Q211" s="56"/>
      <c r="R211" s="56"/>
      <c r="S211" s="56"/>
      <c r="T211" s="56"/>
      <c r="U211" s="56"/>
      <c r="V211" s="230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</row>
    <row r="212" spans="7:186" x14ac:dyDescent="0.25">
      <c r="G212" s="16"/>
      <c r="H212" s="56"/>
      <c r="I212" s="56"/>
      <c r="J212" s="56"/>
      <c r="K212" s="56"/>
      <c r="L212" s="56"/>
      <c r="M212" s="56"/>
      <c r="N212" s="56">
        <f t="shared" ref="N212:V212" si="119">IFERROR(-CUMPRINC($D$30/12,$D$31*12,SUM($N$157:$N$158)*$E$29,(N151-$M$151)*12-11,(N151-$M$151)*12,0),0)</f>
        <v>0</v>
      </c>
      <c r="O212" s="56"/>
      <c r="P212" s="56"/>
      <c r="Q212" s="56"/>
      <c r="R212" s="56"/>
      <c r="S212" s="56"/>
      <c r="T212" s="56"/>
      <c r="U212" s="56"/>
      <c r="V212" s="230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</row>
    <row r="213" spans="7:186" x14ac:dyDescent="0.25">
      <c r="G213" s="16"/>
      <c r="H213" s="56"/>
      <c r="I213" s="56"/>
      <c r="J213" s="56"/>
      <c r="K213" s="56"/>
      <c r="L213" s="56"/>
      <c r="M213" s="56"/>
      <c r="N213" s="56"/>
      <c r="O213" s="56">
        <f t="shared" ref="O213:V213" si="120">IFERROR(-CUMPRINC($D$30/12,$D$31*12,SUM($O$157:$O$158)*$E$29,(O151-$N$151)*12-11,(O151-$N$151)*12,0),0)</f>
        <v>0</v>
      </c>
      <c r="P213" s="56"/>
      <c r="Q213" s="56"/>
      <c r="R213" s="56"/>
      <c r="S213" s="56"/>
      <c r="T213" s="56"/>
      <c r="U213" s="56"/>
      <c r="V213" s="230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</row>
    <row r="214" spans="7:186" x14ac:dyDescent="0.25">
      <c r="G214" s="16"/>
      <c r="H214" s="56"/>
      <c r="I214" s="56"/>
      <c r="J214" s="56"/>
      <c r="K214" s="56"/>
      <c r="L214" s="56"/>
      <c r="M214" s="56"/>
      <c r="N214" s="56"/>
      <c r="O214" s="56"/>
      <c r="P214" s="56">
        <f t="shared" ref="P214:V214" si="121">IFERROR(-CUMPRINC($D$30/12,$D$31*12,SUM($P$157:$P$158)*$E$29,(P151-$O$151)*12-11,(P151-$O$151)*12,0),0)</f>
        <v>0</v>
      </c>
      <c r="Q214" s="56"/>
      <c r="R214" s="56"/>
      <c r="S214" s="56"/>
      <c r="T214" s="56"/>
      <c r="U214" s="56"/>
      <c r="V214" s="230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</row>
    <row r="215" spans="7:186" x14ac:dyDescent="0.25">
      <c r="G215" s="16"/>
      <c r="H215" s="56"/>
      <c r="I215" s="56"/>
      <c r="J215" s="56"/>
      <c r="K215" s="56"/>
      <c r="L215" s="56"/>
      <c r="M215" s="56"/>
      <c r="N215" s="56"/>
      <c r="O215" s="56"/>
      <c r="P215" s="56"/>
      <c r="Q215" s="56">
        <f t="shared" ref="Q215:V215" si="122">IFERROR(-CUMPRINC($D$30/12,$D$31*12,SUM($Q$157:$Q$158)*$E$29,(Q151-$P$151)*12-11,(Q151-$P$151)*12,0),0)</f>
        <v>0</v>
      </c>
      <c r="R215" s="56"/>
      <c r="S215" s="56"/>
      <c r="T215" s="56"/>
      <c r="U215" s="56"/>
      <c r="V215" s="230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</row>
    <row r="216" spans="7:186" x14ac:dyDescent="0.25">
      <c r="G216" s="1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>
        <f>IFERROR(-CUMPRINC($D$30/12,$D$31*12,SUM($R$157:$R$158)*$E$29,(R151-$Q$151)*12-11,(R151-$Q$151)*12,0),0)</f>
        <v>0</v>
      </c>
      <c r="S216" s="56">
        <f>IFERROR(-CUMPRINC($D$30/12,$D$31*12,SUM($R$157:$R$158)*$E$29,(S151-$Q$151)*12-11,(S151-$Q$151)*12,0),0)</f>
        <v>0</v>
      </c>
      <c r="T216" s="56">
        <f>IFERROR(-CUMPRINC($D$30/12,$D$31*12,SUM($R$157:$R$158)*$E$29,(T151-$Q$151)*12-11,(T151-$Q$151)*12,0),0)</f>
        <v>0</v>
      </c>
      <c r="U216" s="56">
        <f>IFERROR(-CUMPRINC($D$30/12,$D$31*12,SUM($R$157:$R$158)*$E$29,(U151-$Q$151)*12-11,(U151-$Q$151)*12,0),0)</f>
        <v>0</v>
      </c>
      <c r="V216" s="230">
        <f>IFERROR(-CUMPRINC($D$30/12,$D$31*12,SUM($R$157:$R$158)*$E$29,(V151-$Q$151)*12-11,(V151-$Q$151)*12,0),0)</f>
        <v>0</v>
      </c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</row>
    <row r="217" spans="7:186" x14ac:dyDescent="0.25">
      <c r="G217" s="1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>
        <f>IFERROR(-CUMPRINC($D$30/12,$D$31*12,SUM($S$157:$S$158)*$E$29,(S151-$R$151)*12-11,(S151-$R$151)*12,0),0)</f>
        <v>0</v>
      </c>
      <c r="T217" s="56">
        <f>IFERROR(-CUMPRINC($D$30/12,$D$31*12,SUM($S$157:$S$158)*$E$29,(T151-$R$151)*12-11,(T151-$R$151)*12,0),0)</f>
        <v>0</v>
      </c>
      <c r="U217" s="56">
        <f>IFERROR(-CUMPRINC($D$30/12,$D$31*12,SUM($S$157:$S$158)*$E$29,(U151-$R$151)*12-11,(U151-$R$151)*12,0),0)</f>
        <v>0</v>
      </c>
      <c r="V217" s="230">
        <f>IFERROR(-CUMPRINC($D$30/12,$D$31*12,SUM($S$157:$S$158)*$E$29,(V151-$R$151)*12-11,(V151-$R$151)*12,0),0)</f>
        <v>0</v>
      </c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</row>
    <row r="218" spans="7:186" x14ac:dyDescent="0.25">
      <c r="G218" s="1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>
        <f>IFERROR(-CUMPRINC($D$30/12,$D$31*12,SUM($T$157:$T$158)*$E$29,(T151-$S$151)*12-11,(T151-$S$151)*12,0),0)</f>
        <v>0</v>
      </c>
      <c r="U218" s="56">
        <f>IFERROR(-CUMPRINC($D$30/12,$D$31*12,SUM($T$157:$T$158)*$E$29,(U151-$S$151)*12-11,(U151-$S$151)*12,0),0)</f>
        <v>0</v>
      </c>
      <c r="V218" s="230">
        <f>IFERROR(-CUMPRINC($D$30/12,$D$31*12,SUM($T$157:$T$158)*$E$29,(V151-$S$151)*12-11,(V151-$S$151)*12,0),0)</f>
        <v>0</v>
      </c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</row>
    <row r="219" spans="7:186" x14ac:dyDescent="0.25">
      <c r="G219" s="1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>
        <f>IFERROR(-CUMPRINC($D$30/12,$D$31*12,SUM($U$157:$U$158)*$E$29,(U151-$T$151)*12-11,(U151-$T$151)*12,0),0)</f>
        <v>0</v>
      </c>
      <c r="V219" s="230">
        <f>IFERROR(-CUMPRINC($D$30/12,$D$31*12,SUM($U$157:$U$158)*$E$29,(V151-$T$151)*12-11,(V151-$T$151)*12,0),0)</f>
        <v>0</v>
      </c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</row>
    <row r="220" spans="7:186" x14ac:dyDescent="0.25">
      <c r="G220" s="1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230">
        <f>IFERROR(-CUMPRINC($D$30/12,$D$31*12,SUM($V$157:$V$158)*$E$29,(V151-$U$151)*12-11,(V151-$U$151)*12,0),0)</f>
        <v>0</v>
      </c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</row>
    <row r="221" spans="7:186" x14ac:dyDescent="0.25">
      <c r="G221" s="16"/>
      <c r="H221" s="56">
        <f>H203-SUM(H206:H220)</f>
        <v>0</v>
      </c>
      <c r="I221" s="56">
        <f t="shared" ref="I221:V221" si="123">I203-SUM(I206:I220)</f>
        <v>0</v>
      </c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230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</row>
    <row r="222" spans="7:186" x14ac:dyDescent="0.25">
      <c r="G222" s="1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60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</row>
    <row r="223" spans="7:186" x14ac:dyDescent="0.25">
      <c r="G223" s="16"/>
      <c r="H223" s="232">
        <f>H152/(H204+H176+H183)</f>
        <v>-0.16149800111154317</v>
      </c>
      <c r="I223" s="232">
        <f>I152/(I204+I176+I183)</f>
        <v>1.9582260208916995</v>
      </c>
      <c r="J223" s="232">
        <f t="shared" ref="J223:V223" si="124">J152/(J204+J176+J183)</f>
        <v>2.0366592626464115</v>
      </c>
      <c r="K223" s="232">
        <f>K152/(K204+K176+K183)</f>
        <v>2.118232960098889</v>
      </c>
      <c r="L223" s="232"/>
      <c r="M223" s="232"/>
      <c r="N223" s="232"/>
      <c r="O223" s="232"/>
      <c r="P223" s="232"/>
      <c r="Q223" s="232"/>
      <c r="R223" s="232"/>
      <c r="S223" s="232"/>
      <c r="T223" s="232"/>
      <c r="U223" s="232"/>
      <c r="V223" s="233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</row>
    <row r="224" spans="7:186" x14ac:dyDescent="0.25">
      <c r="G224" s="32"/>
      <c r="H224" s="234">
        <f>H155/(H175+H203+H182)</f>
        <v>-0.012726154397610722</v>
      </c>
      <c r="I224" s="234">
        <f t="shared" ref="I224:V224" si="125">I155/(I175+I203+I182)</f>
        <v>0.15430956739875978</v>
      </c>
      <c r="J224" s="234"/>
      <c r="K224" s="234"/>
      <c r="L224" s="234"/>
      <c r="M224" s="234"/>
      <c r="N224" s="234"/>
      <c r="O224" s="234"/>
      <c r="P224" s="234"/>
      <c r="Q224" s="234"/>
      <c r="R224" s="234"/>
      <c r="S224" s="234"/>
      <c r="T224" s="234"/>
      <c r="U224" s="234"/>
      <c r="V224" s="11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</row>
    <row r="225" spans="7:186" x14ac:dyDescent="0.25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</row>
    <row r="226" spans="7:186" x14ac:dyDescent="0.25">
      <c r="G226" s="132"/>
      <c r="H226" s="235"/>
      <c r="I226" s="235"/>
      <c r="J226" s="236">
        <f>D34*12</f>
        <v>60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</row>
    <row r="227" spans="7:186" x14ac:dyDescent="0.25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</row>
    <row r="228" spans="7:186" x14ac:dyDescent="0.25">
      <c r="G228" s="132"/>
      <c r="H228" s="235"/>
      <c r="I228" s="235"/>
      <c r="J228" s="237">
        <f>+AVERAGEIF($H$230:$GD$230,"&lt;="&amp;$J$226,$H$235:$GD$235)</f>
        <v>0.07361180819672133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</row>
    <row r="229" ht="21" customHeight="1" spans="7:186" x14ac:dyDescent="0.25">
      <c r="G229" s="23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</row>
    <row r="230" ht="21" customHeight="1" spans="7:186" x14ac:dyDescent="0.25">
      <c r="G230" s="238"/>
      <c r="H230" s="239"/>
      <c r="I230" s="239">
        <f>+H230+1</f>
        <v>1</v>
      </c>
      <c r="J230" s="239">
        <f t="shared" ref="J230:X230" si="126">+I230+1</f>
        <v>2</v>
      </c>
      <c r="K230" s="239"/>
      <c r="L230" s="239"/>
      <c r="M230" s="239"/>
      <c r="N230" s="239"/>
      <c r="O230" s="239"/>
      <c r="P230" s="239"/>
      <c r="Q230" s="239"/>
      <c r="R230" s="239"/>
      <c r="S230" s="239"/>
      <c r="T230" s="239"/>
      <c r="U230" s="239"/>
      <c r="V230" s="239"/>
      <c r="W230" s="239"/>
      <c r="X230" s="239"/>
      <c r="Y230" s="239">
        <f t="shared" ref="Y230" si="127">+X230+1</f>
        <v>17</v>
      </c>
      <c r="Z230" s="239">
        <f t="shared" ref="Z230" si="128">+Y230+1</f>
        <v>18</v>
      </c>
      <c r="AA230" s="239">
        <f t="shared" ref="AA230" si="129">+Z230+1</f>
        <v>19</v>
      </c>
      <c r="AB230" s="239">
        <f t="shared" ref="AB230" si="130">+AA230+1</f>
        <v>20</v>
      </c>
      <c r="AC230" s="239">
        <f t="shared" ref="AC230" si="131">+AB230+1</f>
        <v>21</v>
      </c>
      <c r="AD230" s="239">
        <f t="shared" ref="AD230" si="132">+AC230+1</f>
        <v>22</v>
      </c>
      <c r="AE230" s="239">
        <f t="shared" ref="AE230" si="133">+AD230+1</f>
        <v>23</v>
      </c>
      <c r="AF230" s="239">
        <f t="shared" ref="AF230" si="134">+AE230+1</f>
        <v>24</v>
      </c>
      <c r="AG230" s="239">
        <f t="shared" ref="AG230" si="135">+AF230+1</f>
        <v>25</v>
      </c>
      <c r="AH230" s="239">
        <f t="shared" ref="AH230" si="136">+AG230+1</f>
        <v>26</v>
      </c>
      <c r="AI230" s="239">
        <f t="shared" ref="AI230" si="137">+AH230+1</f>
        <v>27</v>
      </c>
      <c r="AJ230" s="239">
        <f t="shared" ref="AJ230" si="138">+AI230+1</f>
        <v>28</v>
      </c>
      <c r="AK230" s="239">
        <f t="shared" ref="AK230" si="139">+AJ230+1</f>
        <v>29</v>
      </c>
      <c r="AL230" s="239">
        <f t="shared" ref="AL230" si="140">+AK230+1</f>
        <v>30</v>
      </c>
      <c r="AM230" s="239">
        <f t="shared" ref="AM230" si="141">+AL230+1</f>
        <v>31</v>
      </c>
      <c r="AN230" s="239">
        <f t="shared" ref="AN230" si="142">+AM230+1</f>
        <v>32</v>
      </c>
      <c r="AO230" s="239">
        <f t="shared" ref="AO230" si="143">+AN230+1</f>
        <v>33</v>
      </c>
      <c r="AP230" s="239">
        <f t="shared" ref="AP230" si="144">+AO230+1</f>
        <v>34</v>
      </c>
      <c r="AQ230" s="239">
        <f t="shared" ref="AQ230" si="145">+AP230+1</f>
        <v>35</v>
      </c>
      <c r="AR230" s="239">
        <f t="shared" ref="AR230" si="146">+AQ230+1</f>
        <v>36</v>
      </c>
      <c r="AS230" s="239">
        <f t="shared" ref="AS230" si="147">+AR230+1</f>
        <v>37</v>
      </c>
      <c r="AT230" s="239">
        <f t="shared" ref="AT230" si="148">+AS230+1</f>
        <v>38</v>
      </c>
      <c r="AU230" s="239">
        <f t="shared" ref="AU230" si="149">+AT230+1</f>
        <v>39</v>
      </c>
      <c r="AV230" s="239">
        <f t="shared" ref="AV230" si="150">+AU230+1</f>
        <v>40</v>
      </c>
      <c r="AW230" s="239">
        <f t="shared" ref="AW230" si="151">+AV230+1</f>
        <v>41</v>
      </c>
      <c r="AX230" s="239">
        <f t="shared" ref="AX230" si="152">+AW230+1</f>
        <v>42</v>
      </c>
      <c r="AY230" s="239">
        <f t="shared" ref="AY230" si="153">+AX230+1</f>
        <v>43</v>
      </c>
      <c r="AZ230" s="239">
        <f t="shared" ref="AZ230" si="154">+AY230+1</f>
        <v>44</v>
      </c>
      <c r="BA230" s="239">
        <f t="shared" ref="BA230" si="155">+AZ230+1</f>
        <v>45</v>
      </c>
      <c r="BB230" s="239">
        <f t="shared" ref="BB230" si="156">+BA230+1</f>
        <v>46</v>
      </c>
      <c r="BC230" s="239">
        <f t="shared" ref="BC230" si="157">+BB230+1</f>
        <v>47</v>
      </c>
      <c r="BD230" s="239">
        <f t="shared" ref="BD230" si="158">+BC230+1</f>
        <v>48</v>
      </c>
      <c r="BE230" s="239">
        <f t="shared" ref="BE230" si="159">+BD230+1</f>
        <v>49</v>
      </c>
      <c r="BF230" s="239">
        <f t="shared" ref="BF230" si="160">+BE230+1</f>
        <v>50</v>
      </c>
      <c r="BG230" s="239">
        <f t="shared" ref="BG230" si="161">+BF230+1</f>
        <v>51</v>
      </c>
      <c r="BH230" s="239">
        <f t="shared" ref="BH230" si="162">+BG230+1</f>
        <v>52</v>
      </c>
      <c r="BI230" s="239">
        <f t="shared" ref="BI230" si="163">+BH230+1</f>
        <v>53</v>
      </c>
      <c r="BJ230" s="239">
        <f t="shared" ref="BJ230" si="164">+BI230+1</f>
        <v>54</v>
      </c>
      <c r="BK230" s="239">
        <f t="shared" ref="BK230" si="165">+BJ230+1</f>
        <v>55</v>
      </c>
      <c r="BL230" s="239">
        <f t="shared" ref="BL230" si="166">+BK230+1</f>
        <v>56</v>
      </c>
      <c r="BM230" s="239">
        <f t="shared" ref="BM230" si="167">+BL230+1</f>
        <v>57</v>
      </c>
      <c r="BN230" s="239">
        <f t="shared" ref="BN230" si="168">+BM230+1</f>
        <v>58</v>
      </c>
      <c r="BO230" s="239">
        <f t="shared" ref="BO230" si="169">+BN230+1</f>
        <v>59</v>
      </c>
      <c r="BP230" s="239">
        <f t="shared" ref="BP230" si="170">+BO230+1</f>
        <v>60</v>
      </c>
      <c r="BQ230" s="239">
        <f t="shared" ref="BQ230" si="171">+BP230+1</f>
        <v>61</v>
      </c>
      <c r="BR230" s="239">
        <f t="shared" ref="BR230" si="172">+BQ230+1</f>
        <v>62</v>
      </c>
      <c r="BS230" s="239">
        <f t="shared" ref="BS230" si="173">+BR230+1</f>
        <v>63</v>
      </c>
      <c r="BT230" s="239">
        <f t="shared" ref="BT230" si="174">+BS230+1</f>
        <v>64</v>
      </c>
      <c r="BU230" s="239">
        <f t="shared" ref="BU230" si="175">+BT230+1</f>
        <v>65</v>
      </c>
      <c r="BV230" s="239">
        <f t="shared" ref="BV230" si="176">+BU230+1</f>
        <v>66</v>
      </c>
      <c r="BW230" s="239">
        <f t="shared" ref="BW230" si="177">+BV230+1</f>
        <v>67</v>
      </c>
      <c r="BX230" s="239">
        <f t="shared" ref="BX230" si="178">+BW230+1</f>
        <v>68</v>
      </c>
      <c r="BY230" s="239">
        <f t="shared" ref="BY230" si="179">+BX230+1</f>
        <v>69</v>
      </c>
      <c r="BZ230" s="239">
        <f t="shared" ref="BZ230" si="180">+BY230+1</f>
        <v>70</v>
      </c>
      <c r="CA230" s="239">
        <f t="shared" ref="CA230" si="181">+BZ230+1</f>
        <v>71</v>
      </c>
      <c r="CB230" s="239">
        <f t="shared" ref="CB230" si="182">+CA230+1</f>
        <v>72</v>
      </c>
      <c r="CC230" s="239">
        <f t="shared" ref="CC230" si="183">+CB230+1</f>
        <v>73</v>
      </c>
      <c r="CD230" s="239">
        <f t="shared" ref="CD230" si="184">+CC230+1</f>
        <v>74</v>
      </c>
      <c r="CE230" s="239">
        <f t="shared" ref="CE230" si="185">+CD230+1</f>
        <v>75</v>
      </c>
      <c r="CF230" s="239">
        <f t="shared" ref="CF230" si="186">+CE230+1</f>
        <v>76</v>
      </c>
      <c r="CG230" s="239">
        <f t="shared" ref="CG230" si="187">+CF230+1</f>
        <v>77</v>
      </c>
      <c r="CH230" s="239">
        <f t="shared" ref="CH230" si="188">+CG230+1</f>
        <v>78</v>
      </c>
      <c r="CI230" s="239">
        <f t="shared" ref="CI230" si="189">+CH230+1</f>
        <v>79</v>
      </c>
      <c r="CJ230" s="239">
        <f t="shared" ref="CJ230" si="190">+CI230+1</f>
        <v>80</v>
      </c>
      <c r="CK230" s="239">
        <f t="shared" ref="CK230" si="191">+CJ230+1</f>
        <v>81</v>
      </c>
      <c r="CL230" s="239">
        <f t="shared" ref="CL230" si="192">+CK230+1</f>
        <v>82</v>
      </c>
      <c r="CM230" s="239">
        <f t="shared" ref="CM230" si="193">+CL230+1</f>
        <v>83</v>
      </c>
      <c r="CN230" s="239">
        <f t="shared" ref="CN230" si="194">+CM230+1</f>
        <v>84</v>
      </c>
      <c r="CO230" s="239">
        <f t="shared" ref="CO230" si="195">+CN230+1</f>
        <v>85</v>
      </c>
      <c r="CP230" s="239">
        <f t="shared" ref="CP230" si="196">+CO230+1</f>
        <v>86</v>
      </c>
      <c r="CQ230" s="239">
        <f t="shared" ref="CQ230" si="197">+CP230+1</f>
        <v>87</v>
      </c>
      <c r="CR230" s="239">
        <f t="shared" ref="CR230" si="198">+CQ230+1</f>
        <v>88</v>
      </c>
      <c r="CS230" s="239">
        <f t="shared" ref="CS230" si="199">+CR230+1</f>
        <v>89</v>
      </c>
      <c r="CT230" s="239">
        <f t="shared" ref="CT230" si="200">+CS230+1</f>
        <v>90</v>
      </c>
      <c r="CU230" s="239">
        <f t="shared" ref="CU230" si="201">+CT230+1</f>
        <v>91</v>
      </c>
      <c r="CV230" s="239">
        <f t="shared" ref="CV230" si="202">+CU230+1</f>
        <v>92</v>
      </c>
      <c r="CW230" s="239">
        <f t="shared" ref="CW230" si="203">+CV230+1</f>
        <v>93</v>
      </c>
      <c r="CX230" s="239">
        <f t="shared" ref="CX230" si="204">+CW230+1</f>
        <v>94</v>
      </c>
      <c r="CY230" s="239">
        <f t="shared" ref="CY230" si="205">+CX230+1</f>
        <v>95</v>
      </c>
      <c r="CZ230" s="239">
        <f t="shared" ref="CZ230" si="206">+CY230+1</f>
        <v>96</v>
      </c>
      <c r="DA230" s="239">
        <f t="shared" ref="DA230" si="207">+CZ230+1</f>
        <v>97</v>
      </c>
      <c r="DB230" s="239">
        <f t="shared" ref="DB230" si="208">+DA230+1</f>
        <v>98</v>
      </c>
      <c r="DC230" s="239">
        <f t="shared" ref="DC230" si="209">+DB230+1</f>
        <v>99</v>
      </c>
      <c r="DD230" s="239">
        <f t="shared" ref="DD230" si="210">+DC230+1</f>
        <v>100</v>
      </c>
      <c r="DE230" s="239">
        <f t="shared" ref="DE230" si="211">+DD230+1</f>
        <v>101</v>
      </c>
      <c r="DF230" s="239">
        <f t="shared" ref="DF230" si="212">+DE230+1</f>
        <v>102</v>
      </c>
      <c r="DG230" s="239">
        <f t="shared" ref="DG230" si="213">+DF230+1</f>
        <v>103</v>
      </c>
      <c r="DH230" s="239">
        <f t="shared" ref="DH230" si="214">+DG230+1</f>
        <v>104</v>
      </c>
      <c r="DI230" s="239">
        <f t="shared" ref="DI230" si="215">+DH230+1</f>
        <v>105</v>
      </c>
      <c r="DJ230" s="239">
        <f t="shared" ref="DJ230" si="216">+DI230+1</f>
        <v>106</v>
      </c>
      <c r="DK230" s="239">
        <f t="shared" ref="DK230" si="217">+DJ230+1</f>
        <v>107</v>
      </c>
      <c r="DL230" s="239">
        <f t="shared" ref="DL230" si="218">+DK230+1</f>
        <v>108</v>
      </c>
      <c r="DM230" s="239">
        <f t="shared" ref="DM230" si="219">+DL230+1</f>
        <v>109</v>
      </c>
      <c r="DN230" s="239">
        <f t="shared" ref="DN230" si="220">+DM230+1</f>
        <v>110</v>
      </c>
      <c r="DO230" s="239">
        <f t="shared" ref="DO230" si="221">+DN230+1</f>
        <v>111</v>
      </c>
      <c r="DP230" s="239">
        <f t="shared" ref="DP230" si="222">+DO230+1</f>
        <v>112</v>
      </c>
      <c r="DQ230" s="239">
        <f t="shared" ref="DQ230" si="223">+DP230+1</f>
        <v>113</v>
      </c>
      <c r="DR230" s="239">
        <f t="shared" ref="DR230" si="224">+DQ230+1</f>
        <v>114</v>
      </c>
      <c r="DS230" s="239">
        <f t="shared" ref="DS230" si="225">+DR230+1</f>
        <v>115</v>
      </c>
      <c r="DT230" s="239">
        <f t="shared" ref="DT230" si="226">+DS230+1</f>
        <v>116</v>
      </c>
      <c r="DU230" s="239">
        <f t="shared" ref="DU230" si="227">+DT230+1</f>
        <v>117</v>
      </c>
      <c r="DV230" s="239">
        <f t="shared" ref="DV230" si="228">+DU230+1</f>
        <v>118</v>
      </c>
      <c r="DW230" s="239">
        <f t="shared" ref="DW230" si="229">+DV230+1</f>
        <v>119</v>
      </c>
      <c r="DX230" s="239">
        <f t="shared" ref="DX230" si="230">+DW230+1</f>
        <v>120</v>
      </c>
      <c r="DY230" s="239">
        <f t="shared" ref="DY230" si="231">+DX230+1</f>
        <v>121</v>
      </c>
      <c r="DZ230" s="239">
        <f t="shared" ref="DZ230" si="232">+DY230+1</f>
        <v>122</v>
      </c>
      <c r="EA230" s="239">
        <f t="shared" ref="EA230" si="233">+DZ230+1</f>
        <v>123</v>
      </c>
      <c r="EB230" s="239">
        <f t="shared" ref="EB230" si="234">+EA230+1</f>
        <v>124</v>
      </c>
      <c r="EC230" s="239">
        <f t="shared" ref="EC230" si="235">+EB230+1</f>
        <v>125</v>
      </c>
      <c r="ED230" s="239">
        <f t="shared" ref="ED230" si="236">+EC230+1</f>
        <v>126</v>
      </c>
      <c r="EE230" s="239">
        <f t="shared" ref="EE230" si="237">+ED230+1</f>
        <v>127</v>
      </c>
      <c r="EF230" s="239">
        <f t="shared" ref="EF230" si="238">+EE230+1</f>
        <v>128</v>
      </c>
      <c r="EG230" s="239">
        <f t="shared" ref="EG230" si="239">+EF230+1</f>
        <v>129</v>
      </c>
      <c r="EH230" s="239">
        <f t="shared" ref="EH230" si="240">+EG230+1</f>
        <v>130</v>
      </c>
      <c r="EI230" s="239">
        <f t="shared" ref="EI230" si="241">+EH230+1</f>
        <v>131</v>
      </c>
      <c r="EJ230" s="239">
        <f t="shared" ref="EJ230" si="242">+EI230+1</f>
        <v>132</v>
      </c>
      <c r="EK230" s="239">
        <f t="shared" ref="EK230" si="243">+EJ230+1</f>
        <v>133</v>
      </c>
      <c r="EL230" s="239">
        <f t="shared" ref="EL230" si="244">+EK230+1</f>
        <v>134</v>
      </c>
      <c r="EM230" s="239">
        <f t="shared" ref="EM230" si="245">+EL230+1</f>
        <v>135</v>
      </c>
      <c r="EN230" s="239">
        <f t="shared" ref="EN230" si="246">+EM230+1</f>
        <v>136</v>
      </c>
      <c r="EO230" s="239">
        <f t="shared" ref="EO230" si="247">+EN230+1</f>
        <v>137</v>
      </c>
      <c r="EP230" s="239">
        <f t="shared" ref="EP230" si="248">+EO230+1</f>
        <v>138</v>
      </c>
      <c r="EQ230" s="239">
        <f t="shared" ref="EQ230" si="249">+EP230+1</f>
        <v>139</v>
      </c>
      <c r="ER230" s="239">
        <f t="shared" ref="ER230" si="250">+EQ230+1</f>
        <v>140</v>
      </c>
      <c r="ES230" s="239">
        <f t="shared" ref="ES230" si="251">+ER230+1</f>
        <v>141</v>
      </c>
      <c r="ET230" s="239">
        <f t="shared" ref="ET230" si="252">+ES230+1</f>
        <v>142</v>
      </c>
      <c r="EU230" s="239">
        <f t="shared" ref="EU230" si="253">+ET230+1</f>
        <v>143</v>
      </c>
      <c r="EV230" s="239">
        <f t="shared" ref="EV230" si="254">+EU230+1</f>
        <v>144</v>
      </c>
      <c r="EW230" s="239">
        <f t="shared" ref="EW230" si="255">+EV230+1</f>
        <v>145</v>
      </c>
      <c r="EX230" s="239">
        <f t="shared" ref="EX230" si="256">+EW230+1</f>
        <v>146</v>
      </c>
      <c r="EY230" s="239">
        <f t="shared" ref="EY230" si="257">+EX230+1</f>
        <v>147</v>
      </c>
      <c r="EZ230" s="239">
        <f t="shared" ref="EZ230" si="258">+EY230+1</f>
        <v>148</v>
      </c>
      <c r="FA230" s="239">
        <f t="shared" ref="FA230" si="259">+EZ230+1</f>
        <v>149</v>
      </c>
      <c r="FB230" s="239">
        <f t="shared" ref="FB230" si="260">+FA230+1</f>
        <v>150</v>
      </c>
      <c r="FC230" s="239">
        <f t="shared" ref="FC230" si="261">+FB230+1</f>
        <v>151</v>
      </c>
      <c r="FD230" s="239">
        <f t="shared" ref="FD230" si="262">+FC230+1</f>
        <v>152</v>
      </c>
      <c r="FE230" s="239">
        <f t="shared" ref="FE230" si="263">+FD230+1</f>
        <v>153</v>
      </c>
      <c r="FF230" s="239">
        <f t="shared" ref="FF230" si="264">+FE230+1</f>
        <v>154</v>
      </c>
      <c r="FG230" s="239">
        <f t="shared" ref="FG230" si="265">+FF230+1</f>
        <v>155</v>
      </c>
      <c r="FH230" s="239">
        <f t="shared" ref="FH230" si="266">+FG230+1</f>
        <v>156</v>
      </c>
      <c r="FI230" s="239">
        <f t="shared" ref="FI230" si="267">+FH230+1</f>
        <v>157</v>
      </c>
      <c r="FJ230" s="239">
        <f t="shared" ref="FJ230" si="268">+FI230+1</f>
        <v>158</v>
      </c>
      <c r="FK230" s="239">
        <f t="shared" ref="FK230" si="269">+FJ230+1</f>
        <v>159</v>
      </c>
      <c r="FL230" s="239">
        <f t="shared" ref="FL230" si="270">+FK230+1</f>
        <v>160</v>
      </c>
      <c r="FM230" s="239">
        <f t="shared" ref="FM230" si="271">+FL230+1</f>
        <v>161</v>
      </c>
      <c r="FN230" s="239">
        <f t="shared" ref="FN230" si="272">+FM230+1</f>
        <v>162</v>
      </c>
      <c r="FO230" s="239">
        <f t="shared" ref="FO230" si="273">+FN230+1</f>
        <v>163</v>
      </c>
      <c r="FP230" s="239">
        <f t="shared" ref="FP230" si="274">+FO230+1</f>
        <v>164</v>
      </c>
      <c r="FQ230" s="239">
        <f t="shared" ref="FQ230" si="275">+FP230+1</f>
        <v>165</v>
      </c>
      <c r="FR230" s="239">
        <f t="shared" ref="FR230" si="276">+FQ230+1</f>
        <v>166</v>
      </c>
      <c r="FS230" s="239">
        <f t="shared" ref="FS230" si="277">+FR230+1</f>
        <v>167</v>
      </c>
      <c r="FT230" s="239">
        <f t="shared" ref="FT230" si="278">+FS230+1</f>
        <v>168</v>
      </c>
      <c r="FU230" s="239">
        <f t="shared" ref="FU230" si="279">+FT230+1</f>
        <v>169</v>
      </c>
      <c r="FV230" s="239">
        <f t="shared" ref="FV230" si="280">+FU230+1</f>
        <v>170</v>
      </c>
      <c r="FW230" s="239">
        <f t="shared" ref="FW230" si="281">+FV230+1</f>
        <v>171</v>
      </c>
      <c r="FX230" s="239">
        <f t="shared" ref="FX230" si="282">+FW230+1</f>
        <v>172</v>
      </c>
      <c r="FY230" s="239">
        <f t="shared" ref="FY230" si="283">+FX230+1</f>
        <v>173</v>
      </c>
      <c r="FZ230" s="239">
        <f t="shared" ref="FZ230" si="284">+FY230+1</f>
        <v>174</v>
      </c>
      <c r="GA230" s="239">
        <f t="shared" ref="GA230" si="285">+FZ230+1</f>
        <v>175</v>
      </c>
      <c r="GB230" s="239">
        <f t="shared" ref="GB230" si="286">+GA230+1</f>
        <v>176</v>
      </c>
      <c r="GC230" s="239">
        <f t="shared" ref="GC230" si="287">+GB230+1</f>
        <v>177</v>
      </c>
      <c r="GD230" s="239">
        <f t="shared" ref="GD230" si="288">+GC230+1</f>
        <v>178</v>
      </c>
    </row>
    <row r="231" ht="21" customHeight="1" spans="7:186" x14ac:dyDescent="0.25">
      <c r="G231" s="240"/>
      <c r="H231" s="130"/>
      <c r="I231" s="130"/>
      <c r="J231" s="130"/>
      <c r="K231" s="130"/>
      <c r="L231" s="130"/>
      <c r="M231" s="130"/>
      <c r="N231" s="130"/>
      <c r="O231" s="130"/>
      <c r="P231" s="130"/>
      <c r="Q231" s="130"/>
      <c r="R231" s="130"/>
      <c r="S231" s="130"/>
      <c r="T231" s="130"/>
      <c r="U231" s="130"/>
      <c r="V231" s="130"/>
      <c r="W231" s="130"/>
      <c r="X231" s="130"/>
      <c r="Y231" s="130"/>
      <c r="Z231" s="130"/>
      <c r="AA231" s="130"/>
      <c r="AB231" s="130"/>
      <c r="AC231" s="130"/>
      <c r="AD231" s="130"/>
      <c r="AE231" s="130"/>
      <c r="AF231" s="130"/>
      <c r="AG231" s="130"/>
      <c r="AH231" s="130"/>
      <c r="AI231" s="130"/>
      <c r="AJ231" s="130"/>
      <c r="AK231" s="130"/>
      <c r="AL231" s="130"/>
      <c r="AM231" s="130"/>
      <c r="AN231" s="130"/>
      <c r="AO231" s="130"/>
      <c r="AP231" s="130"/>
      <c r="AQ231" s="130"/>
      <c r="AR231" s="130"/>
      <c r="AS231" s="130"/>
      <c r="AT231" s="130"/>
      <c r="AU231" s="130"/>
      <c r="AV231" s="130"/>
      <c r="AW231" s="130"/>
      <c r="AX231" s="130"/>
      <c r="AY231" s="130"/>
      <c r="AZ231" s="130"/>
      <c r="BA231" s="130"/>
      <c r="BB231" s="130"/>
      <c r="BC231" s="130"/>
      <c r="BD231" s="130"/>
      <c r="BE231" s="130"/>
      <c r="BF231" s="130"/>
      <c r="BG231" s="130"/>
      <c r="BH231" s="130"/>
      <c r="BI231" s="130"/>
      <c r="BJ231" s="130"/>
      <c r="BK231" s="130"/>
      <c r="BL231" s="130"/>
      <c r="BM231" s="130"/>
      <c r="BN231" s="130"/>
      <c r="BO231" s="130"/>
      <c r="BP231" s="130"/>
      <c r="BQ231" s="130"/>
      <c r="BR231" s="130"/>
      <c r="BS231" s="130"/>
      <c r="BT231" s="130"/>
      <c r="BU231" s="130"/>
      <c r="BV231" s="130"/>
      <c r="BW231" s="130"/>
      <c r="BX231" s="130"/>
      <c r="BY231" s="130"/>
      <c r="BZ231" s="130"/>
      <c r="CA231" s="130"/>
      <c r="CB231" s="130"/>
      <c r="CC231" s="130"/>
      <c r="CD231" s="130"/>
      <c r="CE231" s="130"/>
      <c r="CF231" s="130"/>
      <c r="CG231" s="130"/>
      <c r="CH231" s="130"/>
      <c r="CI231" s="130"/>
      <c r="CJ231" s="130"/>
      <c r="CK231" s="130"/>
      <c r="CL231" s="130"/>
      <c r="CM231" s="130"/>
      <c r="CN231" s="130"/>
      <c r="CO231" s="130"/>
      <c r="CP231" s="130"/>
      <c r="CQ231" s="130"/>
      <c r="CR231" s="130"/>
      <c r="CS231" s="130"/>
      <c r="CT231" s="130"/>
      <c r="CU231" s="130"/>
      <c r="CV231" s="130"/>
      <c r="CW231" s="130"/>
      <c r="CX231" s="130"/>
      <c r="CY231" s="130"/>
      <c r="CZ231" s="130"/>
      <c r="DA231" s="130"/>
      <c r="DB231" s="130"/>
      <c r="DC231" s="130"/>
      <c r="DD231" s="130"/>
      <c r="DE231" s="130"/>
      <c r="DF231" s="130"/>
      <c r="DG231" s="130"/>
      <c r="DH231" s="130"/>
      <c r="DI231" s="130"/>
      <c r="DJ231" s="130"/>
      <c r="DK231" s="130"/>
      <c r="DL231" s="130"/>
      <c r="DM231" s="130"/>
      <c r="DN231" s="130"/>
      <c r="DO231" s="130"/>
      <c r="DP231" s="130"/>
      <c r="DQ231" s="130"/>
      <c r="DR231" s="130"/>
      <c r="DS231" s="130"/>
      <c r="DT231" s="130"/>
      <c r="DU231" s="130"/>
      <c r="DV231" s="130"/>
      <c r="DW231" s="130"/>
      <c r="DX231" s="130"/>
      <c r="DY231" s="130"/>
      <c r="DZ231" s="130"/>
      <c r="EA231" s="130"/>
      <c r="EB231" s="130"/>
      <c r="EC231" s="130"/>
      <c r="ED231" s="130"/>
      <c r="EE231" s="130"/>
      <c r="EF231" s="130"/>
      <c r="EG231" s="130"/>
      <c r="EH231" s="130"/>
      <c r="EI231" s="130"/>
      <c r="EJ231" s="130"/>
      <c r="EK231" s="130"/>
      <c r="EL231" s="130"/>
      <c r="EM231" s="130"/>
      <c r="EN231" s="130"/>
      <c r="EO231" s="130"/>
      <c r="EP231" s="130"/>
      <c r="EQ231" s="130"/>
      <c r="ER231" s="130"/>
      <c r="ES231" s="130"/>
      <c r="ET231" s="130"/>
      <c r="EU231" s="130"/>
      <c r="EV231" s="130"/>
      <c r="EW231" s="130"/>
      <c r="EX231" s="130"/>
      <c r="EY231" s="130"/>
      <c r="EZ231" s="130"/>
      <c r="FA231" s="130"/>
      <c r="FB231" s="130"/>
      <c r="FC231" s="130"/>
      <c r="FD231" s="130"/>
      <c r="FE231" s="130"/>
      <c r="FF231" s="130"/>
      <c r="FG231" s="130"/>
      <c r="FH231" s="130"/>
      <c r="FI231" s="130"/>
      <c r="FJ231" s="130"/>
      <c r="FK231" s="130"/>
      <c r="FL231" s="130"/>
      <c r="FM231" s="130"/>
      <c r="FN231" s="130"/>
      <c r="FO231" s="130"/>
      <c r="FP231" s="130"/>
      <c r="FQ231" s="130"/>
      <c r="FR231" s="130"/>
      <c r="FS231" s="130"/>
      <c r="FT231" s="130"/>
      <c r="FU231" s="130"/>
      <c r="FV231" s="130"/>
      <c r="FW231" s="130"/>
      <c r="FX231" s="130"/>
      <c r="FY231" s="130"/>
      <c r="FZ231" s="130"/>
      <c r="GA231" s="130"/>
      <c r="GB231" s="130"/>
      <c r="GC231" s="130"/>
      <c r="GD231" s="130"/>
    </row>
    <row r="232" ht="21" customHeight="1" spans="7:186" x14ac:dyDescent="0.25">
      <c r="G232" s="241"/>
      <c r="H232" s="242">
        <f>EOMONTH(DATE(2026,9,1),0)</f>
        <v>46295</v>
      </c>
      <c r="I232" s="243">
        <f>EOMONTH(H232,1)</f>
        <v>46326</v>
      </c>
      <c r="J232" s="242">
        <f t="shared" ref="J232:BU232" si="289">EOMONTH(I232,1)</f>
        <v>46356</v>
      </c>
      <c r="K232" s="243"/>
      <c r="L232" s="242"/>
      <c r="M232" s="243"/>
      <c r="N232" s="242"/>
      <c r="O232" s="243"/>
      <c r="P232" s="242"/>
      <c r="Q232" s="243"/>
      <c r="R232" s="242"/>
      <c r="S232" s="243"/>
      <c r="T232" s="242"/>
      <c r="U232" s="243"/>
      <c r="V232" s="242"/>
      <c r="W232" s="243"/>
      <c r="X232" s="242"/>
      <c r="Y232" s="243"/>
      <c r="Z232" s="242"/>
      <c r="AA232" s="243"/>
      <c r="AB232" s="242"/>
      <c r="AC232" s="243"/>
      <c r="AD232" s="242"/>
      <c r="AE232" s="243"/>
      <c r="AF232" s="242"/>
      <c r="AG232" s="243"/>
      <c r="AH232" s="242"/>
      <c r="AI232" s="243"/>
      <c r="AJ232" s="242"/>
      <c r="AK232" s="243"/>
      <c r="AL232" s="242"/>
      <c r="AM232" s="243"/>
      <c r="AN232" s="242"/>
      <c r="AO232" s="243"/>
      <c r="AP232" s="242"/>
      <c r="AQ232" s="243"/>
      <c r="AR232" s="242"/>
      <c r="AS232" s="243"/>
      <c r="AT232" s="242"/>
      <c r="AU232" s="243"/>
      <c r="AV232" s="242"/>
      <c r="AW232" s="243"/>
      <c r="AX232" s="242"/>
      <c r="AY232" s="243"/>
      <c r="AZ232" s="242"/>
      <c r="BA232" s="243"/>
      <c r="BB232" s="242"/>
      <c r="BC232" s="243"/>
      <c r="BD232" s="242"/>
      <c r="BE232" s="243"/>
      <c r="BF232" s="242"/>
      <c r="BG232" s="243"/>
      <c r="BH232" s="242"/>
      <c r="BI232" s="243"/>
      <c r="BJ232" s="242"/>
      <c r="BK232" s="243"/>
      <c r="BL232" s="242"/>
      <c r="BM232" s="243"/>
      <c r="BN232" s="242"/>
      <c r="BO232" s="243"/>
      <c r="BP232" s="242"/>
      <c r="BQ232" s="243"/>
      <c r="BR232" s="242"/>
      <c r="BS232" s="243"/>
      <c r="BT232" s="242"/>
      <c r="BU232" s="243"/>
      <c r="BV232" s="242">
        <f t="shared" ref="BV232:CB232" si="290">EOMONTH(BU232,1)</f>
        <v>48304</v>
      </c>
      <c r="BW232" s="243"/>
      <c r="BX232" s="242"/>
      <c r="BY232" s="243"/>
      <c r="BZ232" s="242"/>
      <c r="CA232" s="243"/>
      <c r="CB232" s="242"/>
      <c r="CC232" s="244"/>
      <c r="CD232" s="245"/>
      <c r="CE232" s="244"/>
      <c r="CF232" s="245"/>
      <c r="CG232" s="244"/>
      <c r="CH232" s="245"/>
      <c r="CI232" s="244"/>
      <c r="CJ232" s="245"/>
      <c r="CK232" s="244"/>
      <c r="CL232" s="245"/>
      <c r="CM232" s="244"/>
      <c r="CN232" s="245"/>
      <c r="CO232" s="244"/>
      <c r="CP232" s="245"/>
      <c r="CQ232" s="244"/>
      <c r="CR232" s="245"/>
      <c r="CS232" s="244"/>
      <c r="CT232" s="245"/>
      <c r="CU232" s="244"/>
      <c r="CV232" s="245"/>
      <c r="CW232" s="244"/>
      <c r="CX232" s="245"/>
      <c r="CY232" s="244"/>
      <c r="CZ232" s="245"/>
      <c r="DA232" s="244"/>
      <c r="DB232" s="245"/>
      <c r="DC232" s="244"/>
      <c r="DD232" s="245"/>
      <c r="DE232" s="244"/>
      <c r="DF232" s="245"/>
      <c r="DG232" s="244"/>
      <c r="DH232" s="245"/>
      <c r="DI232" s="244"/>
      <c r="DJ232" s="245"/>
      <c r="DK232" s="244"/>
      <c r="DL232" s="245"/>
      <c r="DM232" s="244"/>
      <c r="DN232" s="245"/>
      <c r="DO232" s="244"/>
      <c r="DP232" s="245"/>
      <c r="DQ232" s="244"/>
      <c r="DR232" s="245"/>
      <c r="DS232" s="244"/>
      <c r="DT232" s="245"/>
      <c r="DU232" s="246"/>
      <c r="DV232" s="246">
        <f t="shared" ref="DV232:GD232" si="291">+EDATE(DU232,1)</f>
        <v>49865</v>
      </c>
      <c r="DW232" s="246"/>
      <c r="DX232" s="246"/>
      <c r="DY232" s="246"/>
      <c r="DZ232" s="246"/>
      <c r="EA232" s="246"/>
      <c r="EB232" s="246"/>
      <c r="EC232" s="246"/>
      <c r="ED232" s="246"/>
      <c r="EE232" s="246"/>
      <c r="EF232" s="246"/>
      <c r="EG232" s="246"/>
      <c r="EH232" s="246"/>
      <c r="EI232" s="246"/>
      <c r="EJ232" s="246"/>
      <c r="EK232" s="246"/>
      <c r="EL232" s="246"/>
      <c r="EM232" s="246"/>
      <c r="EN232" s="246"/>
      <c r="EO232" s="246"/>
      <c r="EP232" s="246"/>
      <c r="EQ232" s="246"/>
      <c r="ER232" s="246"/>
      <c r="ES232" s="246"/>
      <c r="ET232" s="246"/>
      <c r="EU232" s="246"/>
      <c r="EV232" s="246"/>
      <c r="EW232" s="246"/>
      <c r="EX232" s="246"/>
      <c r="EY232" s="246"/>
      <c r="EZ232" s="246"/>
      <c r="FA232" s="246"/>
      <c r="FB232" s="246"/>
      <c r="FC232" s="246"/>
      <c r="FD232" s="246"/>
      <c r="FE232" s="246"/>
      <c r="FF232" s="246"/>
      <c r="FG232" s="246"/>
      <c r="FH232" s="246"/>
      <c r="FI232" s="246"/>
      <c r="FJ232" s="246"/>
      <c r="FK232" s="246"/>
      <c r="FL232" s="246"/>
      <c r="FM232" s="246"/>
      <c r="FN232" s="246"/>
      <c r="FO232" s="246"/>
      <c r="FP232" s="246"/>
      <c r="FQ232" s="246"/>
      <c r="FR232" s="246"/>
      <c r="FS232" s="246"/>
      <c r="FT232" s="246"/>
      <c r="FU232" s="246"/>
      <c r="FV232" s="246"/>
      <c r="FW232" s="246"/>
      <c r="FX232" s="246"/>
      <c r="FY232" s="246"/>
      <c r="FZ232" s="246"/>
      <c r="GA232" s="246"/>
      <c r="GB232" s="246"/>
      <c r="GC232" s="246"/>
      <c r="GD232" s="246"/>
    </row>
    <row r="233" ht="21" customHeight="1" spans="7:186" x14ac:dyDescent="0.25">
      <c r="G233" s="241"/>
      <c r="H233" s="247">
        <f t="array" ref="H233">INDEX($I$238:$I$310,COLUMN()-COLUMN($H$233)+1)</f>
        <v>0.0368249</v>
      </c>
      <c r="I233" s="248">
        <f t="array" ref="I233">INDEX($I$238:$I$310,COLUMN()-COLUMN($H$233)+1)</f>
        <v>0.0371392</v>
      </c>
      <c r="J233" s="247">
        <f t="array" ref="J233">INDEX($I$238:$I$310,COLUMN()-COLUMN($H$233)+1)</f>
        <v>0.0375299</v>
      </c>
      <c r="K233" s="248">
        <f t="array" ref="K233">INDEX($I$238:$I$310,COLUMN()-COLUMN($H$233)+1)</f>
        <v>0.037962</v>
      </c>
      <c r="L233" s="247">
        <f t="array" ref="L233">INDEX($I$238:$I$310,COLUMN()-COLUMN($H$233)+1)</f>
        <v>0.0383722</v>
      </c>
      <c r="M233" s="248">
        <f t="array" ref="M233">INDEX($I$238:$I$310,COLUMN()-COLUMN($H$233)+1)</f>
        <v>0.0386957</v>
      </c>
      <c r="N233" s="247">
        <f t="array" ref="N233">INDEX($I$238:$I$310,COLUMN()-COLUMN($H$233)+1)</f>
        <v>0.0389658</v>
      </c>
      <c r="O233" s="248">
        <f t="array" ref="O233">INDEX($I$238:$I$310,COLUMN()-COLUMN($H$233)+1)</f>
        <v>0.0391578</v>
      </c>
      <c r="P233" s="247">
        <f t="array" ref="P233">INDEX($I$238:$I$310,COLUMN()-COLUMN($H$233)+1)</f>
        <v>0.039246</v>
      </c>
      <c r="Q233" s="248">
        <f t="array" ref="Q233">INDEX($I$238:$I$310,COLUMN()-COLUMN($H$233)+1)</f>
        <v>0.0392529</v>
      </c>
      <c r="R233" s="247">
        <f t="array" ref="R233">INDEX($I$238:$I$310,COLUMN()-COLUMN($H$233)+1)</f>
        <v>0.039245</v>
      </c>
      <c r="S233" s="248">
        <f t="array" ref="S233">INDEX($I$238:$I$310,COLUMN()-COLUMN($H$233)+1)</f>
        <v>0.0392209</v>
      </c>
      <c r="T233" s="247">
        <f t="array" ref="T233">INDEX($I$238:$I$310,COLUMN()-COLUMN($H$233)+1)</f>
        <v>0.0391895</v>
      </c>
      <c r="U233" s="248">
        <f t="array" ref="U233">INDEX($I$238:$I$310,COLUMN()-COLUMN($H$233)+1)</f>
        <v>0.0391524</v>
      </c>
      <c r="V233" s="247">
        <f t="array" ref="V233">INDEX($I$238:$I$310,COLUMN()-COLUMN($H$233)+1)</f>
        <v>0.0391021</v>
      </c>
      <c r="W233" s="248">
        <f t="array" ref="W233">INDEX($I$238:$I$310,COLUMN()-COLUMN($H$233)+1)</f>
        <v>0.039049</v>
      </c>
      <c r="X233" s="247">
        <f t="array" ref="X233">INDEX($I$238:$I$310,COLUMN()-COLUMN($H$233)+1)</f>
        <v>0.0389747</v>
      </c>
      <c r="Y233" s="248">
        <f t="array" ref="Y233">INDEX($I$238:$I$310,COLUMN()-COLUMN($H$233)+1)</f>
        <v>0.0389009</v>
      </c>
      <c r="Z233" s="247">
        <f t="array" ref="Z233">INDEX($I$238:$I$310,COLUMN()-COLUMN($H$233)+1)</f>
        <v>0.0388233</v>
      </c>
      <c r="AA233" s="248">
        <f t="array" ref="AA233">INDEX($I$238:$I$310,COLUMN()-COLUMN($H$233)+1)</f>
        <v>0.0387202</v>
      </c>
      <c r="AB233" s="247">
        <f t="array" ref="AB233">INDEX($I$238:$I$310,COLUMN()-COLUMN($H$233)+1)</f>
        <v>0.0386262</v>
      </c>
      <c r="AC233" s="248">
        <f t="array" ref="AC233">INDEX($I$238:$I$310,COLUMN()-COLUMN($H$233)+1)</f>
        <v>0.0385166</v>
      </c>
      <c r="AD233" s="247">
        <f t="array" ref="AD233">INDEX($I$238:$I$310,COLUMN()-COLUMN($H$233)+1)</f>
        <v>0.038411</v>
      </c>
      <c r="AE233" s="248">
        <f t="array" ref="AE233">INDEX($I$238:$I$310,COLUMN()-COLUMN($H$233)+1)</f>
        <v>0.0383259</v>
      </c>
      <c r="AF233" s="247">
        <f t="array" ref="AF233">INDEX($I$238:$I$310,COLUMN()-COLUMN($H$233)+1)</f>
        <v>0.0382468</v>
      </c>
      <c r="AG233" s="248">
        <f t="array" ref="AG233">INDEX($I$238:$I$310,COLUMN()-COLUMN($H$233)+1)</f>
        <v>0.0381751</v>
      </c>
      <c r="AH233" s="247">
        <f t="array" ref="AH233">INDEX($I$238:$I$310,COLUMN()-COLUMN($H$233)+1)</f>
        <v>0.0381201</v>
      </c>
      <c r="AI233" s="248">
        <f t="array" ref="AI233">INDEX($I$238:$I$310,COLUMN()-COLUMN($H$233)+1)</f>
        <v>0.0380761</v>
      </c>
      <c r="AJ233" s="247">
        <f t="array" ref="AJ233">INDEX($I$238:$I$310,COLUMN()-COLUMN($H$233)+1)</f>
        <v>0.0380403</v>
      </c>
      <c r="AK233" s="248">
        <f t="array" ref="AK233">INDEX($I$238:$I$310,COLUMN()-COLUMN($H$233)+1)</f>
        <v>0.0380107</v>
      </c>
      <c r="AL233" s="247">
        <f t="array" ref="AL233">INDEX($I$238:$I$310,COLUMN()-COLUMN($H$233)+1)</f>
        <v>0.0380053</v>
      </c>
      <c r="AM233" s="248">
        <f t="array" ref="AM233">INDEX($I$238:$I$310,COLUMN()-COLUMN($H$233)+1)</f>
        <v>0.0379983</v>
      </c>
      <c r="AN233" s="247">
        <f t="array" ref="AN233">INDEX($I$238:$I$310,COLUMN()-COLUMN($H$233)+1)</f>
        <v>0.0380081</v>
      </c>
      <c r="AO233" s="248">
        <f t="array" ref="AO233">INDEX($I$238:$I$310,COLUMN()-COLUMN($H$233)+1)</f>
        <v>0.0380259</v>
      </c>
      <c r="AP233" s="247">
        <f t="array" ref="AP233">INDEX($I$238:$I$310,COLUMN()-COLUMN($H$233)+1)</f>
        <v>0.0380488</v>
      </c>
      <c r="AQ233" s="248">
        <f t="array" ref="AQ233">INDEX($I$238:$I$310,COLUMN()-COLUMN($H$233)+1)</f>
        <v>0.0380795</v>
      </c>
      <c r="AR233" s="247">
        <f t="array" ref="AR233">INDEX($I$238:$I$310,COLUMN()-COLUMN($H$233)+1)</f>
        <v>0.0381045</v>
      </c>
      <c r="AS233" s="248">
        <f t="array" ref="AS233">INDEX($I$238:$I$310,COLUMN()-COLUMN($H$233)+1)</f>
        <v>0.0381392</v>
      </c>
      <c r="AT233" s="247">
        <f t="array" ref="AT233">INDEX($I$238:$I$310,COLUMN()-COLUMN($H$233)+1)</f>
        <v>0.0381787</v>
      </c>
      <c r="AU233" s="248">
        <f t="array" ref="AU233">INDEX($I$238:$I$310,COLUMN()-COLUMN($H$233)+1)</f>
        <v>0.0382192</v>
      </c>
      <c r="AV233" s="247">
        <f t="array" ref="AV233">INDEX($I$238:$I$310,COLUMN()-COLUMN($H$233)+1)</f>
        <v>0.0382618</v>
      </c>
      <c r="AW233" s="248">
        <f t="array" ref="AW233">INDEX($I$238:$I$310,COLUMN()-COLUMN($H$233)+1)</f>
        <v>0.0383025</v>
      </c>
      <c r="AX233" s="247">
        <f t="array" ref="AX233">INDEX($I$238:$I$310,COLUMN()-COLUMN($H$233)+1)</f>
        <v>0.0383589</v>
      </c>
      <c r="AY233" s="248">
        <f t="array" ref="AY233">INDEX($I$238:$I$310,COLUMN()-COLUMN($H$233)+1)</f>
        <v>0.0384125</v>
      </c>
      <c r="AZ233" s="247">
        <f t="array" ref="AZ233">INDEX($I$238:$I$310,COLUMN()-COLUMN($H$233)+1)</f>
        <v>0.03848</v>
      </c>
      <c r="BA233" s="248">
        <f t="array" ref="BA233">INDEX($I$238:$I$310,COLUMN()-COLUMN($H$233)+1)</f>
        <v>0.0385391</v>
      </c>
      <c r="BB233" s="247">
        <f t="array" ref="BB233">INDEX($I$238:$I$310,COLUMN()-COLUMN($H$233)+1)</f>
        <v>0.0386036</v>
      </c>
      <c r="BC233" s="248">
        <f t="array" ref="BC233">INDEX($I$238:$I$310,COLUMN()-COLUMN($H$233)+1)</f>
        <v>0.0386785</v>
      </c>
      <c r="BD233" s="247">
        <f t="array" ref="BD233">INDEX($I$238:$I$310,COLUMN()-COLUMN($H$233)+1)</f>
        <v>0.0387498</v>
      </c>
      <c r="BE233" s="248">
        <f t="array" ref="BE233">INDEX($I$238:$I$310,COLUMN()-COLUMN($H$233)+1)</f>
        <v>0.0388273</v>
      </c>
      <c r="BF233" s="247">
        <f t="array" ref="BF233">INDEX($I$238:$I$310,COLUMN()-COLUMN($H$233)+1)</f>
        <v>0.0389102</v>
      </c>
      <c r="BG233" s="248">
        <f t="array" ref="BG233">INDEX($I$238:$I$310,COLUMN()-COLUMN($H$233)+1)</f>
        <v>0.038997</v>
      </c>
      <c r="BH233" s="247">
        <f t="array" ref="BH233">INDEX($I$238:$I$310,COLUMN()-COLUMN($H$233)+1)</f>
        <v>0.0390919</v>
      </c>
      <c r="BI233" s="248">
        <f t="array" ref="BI233">INDEX($I$238:$I$310,COLUMN()-COLUMN($H$233)+1)</f>
        <v>0.0391741</v>
      </c>
      <c r="BJ233" s="247">
        <f t="array" ref="BJ233">INDEX($I$238:$I$310,COLUMN()-COLUMN($H$233)+1)</f>
        <v>0.0392739</v>
      </c>
      <c r="BK233" s="248">
        <f t="array" ref="BK233">INDEX($I$238:$I$310,COLUMN()-COLUMN($H$233)+1)</f>
        <v>0.0393652</v>
      </c>
      <c r="BL233" s="247">
        <f t="array" ref="BL233">INDEX($I$238:$I$310,COLUMN()-COLUMN($H$233)+1)</f>
        <v>0.0394749</v>
      </c>
      <c r="BM233" s="248">
        <f t="array" ref="BM233">INDEX($I$238:$I$310,COLUMN()-COLUMN($H$233)+1)</f>
        <v>0.0395788</v>
      </c>
      <c r="BN233" s="247">
        <f t="array" ref="BN233">INDEX($I$238:$I$310,COLUMN()-COLUMN($H$233)+1)</f>
        <v>0.0396831</v>
      </c>
      <c r="BO233" s="248">
        <f t="array" ref="BO233">INDEX($I$238:$I$310,COLUMN()-COLUMN($H$233)+1)</f>
        <v>0.0397885</v>
      </c>
      <c r="BP233" s="247">
        <f t="array" ref="BP233">INDEX($I$238:$I$310,COLUMN()-COLUMN($H$233)+1)</f>
        <v>0.039888</v>
      </c>
      <c r="BQ233" s="248">
        <f t="array" ref="BQ233">INDEX($I$238:$I$310,COLUMN()-COLUMN($H$233)+1)</f>
        <v>0.0399977</v>
      </c>
      <c r="BR233" s="247">
        <f t="array" ref="BR233">INDEX($I$238:$I$310,COLUMN()-COLUMN($H$233)+1)</f>
        <v>0.0400921</v>
      </c>
      <c r="BS233" s="248">
        <f t="array" ref="BS233">INDEX($I$238:$I$310,COLUMN()-COLUMN($H$233)+1)</f>
        <v>0.040184</v>
      </c>
      <c r="BT233" s="247">
        <f t="array" ref="BT233">INDEX($I$238:$I$310,COLUMN()-COLUMN($H$233)+1)</f>
        <v>0.0402834</v>
      </c>
      <c r="BU233" s="248">
        <f t="array" ref="BU233">INDEX($I$238:$I$310,COLUMN()-COLUMN($H$233)+1)</f>
        <v>0.0403687</v>
      </c>
      <c r="BV233" s="247">
        <f t="array" ref="BV233">INDEX($I$238:$I$310,COLUMN()-COLUMN($H$233)+1)</f>
        <v>0.040459</v>
      </c>
      <c r="BW233" s="248">
        <f t="array" ref="BW233">INDEX($I$238:$I$310,COLUMN()-COLUMN($H$233)+1)</f>
        <v>0.0405525</v>
      </c>
      <c r="BX233" s="247">
        <f t="array" ref="BX233">INDEX($I$238:$I$310,COLUMN()-COLUMN($H$233)+1)</f>
        <v>0.0406394</v>
      </c>
      <c r="BY233" s="248">
        <f t="array" ref="BY233">INDEX($I$238:$I$310,COLUMN()-COLUMN($H$233)+1)</f>
        <v>0.040716</v>
      </c>
      <c r="BZ233" s="247">
        <f t="array" ref="BZ233">INDEX($I$238:$I$310,COLUMN()-COLUMN($H$233)+1)</f>
        <v>0.0408045</v>
      </c>
      <c r="CA233" s="248">
        <f t="array" ref="CA233">INDEX($I$238:$I$310,COLUMN()-COLUMN($H$233)+1)</f>
        <v>0.0408854</v>
      </c>
      <c r="CB233" s="247">
        <f t="array" ref="CB233">INDEX($I$238:$I$310,COLUMN()-COLUMN($H$233)+1)</f>
        <v>0.0409592</v>
      </c>
      <c r="CC233" s="249"/>
      <c r="CD233" s="250"/>
      <c r="CE233" s="249"/>
      <c r="CF233" s="250"/>
      <c r="CG233" s="249"/>
      <c r="CH233" s="250"/>
      <c r="CI233" s="249"/>
      <c r="CJ233" s="250"/>
      <c r="CK233" s="249"/>
      <c r="CL233" s="250"/>
      <c r="CM233" s="249"/>
      <c r="CN233" s="250"/>
      <c r="CO233" s="249"/>
      <c r="CP233" s="250"/>
      <c r="CQ233" s="249"/>
      <c r="CR233" s="250"/>
      <c r="CS233" s="249"/>
      <c r="CT233" s="250"/>
      <c r="CU233" s="249"/>
      <c r="CV233" s="250"/>
      <c r="CW233" s="249"/>
      <c r="CX233" s="250"/>
      <c r="CY233" s="249"/>
      <c r="CZ233" s="250"/>
      <c r="DA233" s="249"/>
      <c r="DB233" s="250"/>
      <c r="DC233" s="249"/>
      <c r="DD233" s="250"/>
      <c r="DE233" s="249"/>
      <c r="DF233" s="250"/>
      <c r="DG233" s="249"/>
      <c r="DH233" s="250"/>
      <c r="DI233" s="249"/>
      <c r="DJ233" s="250"/>
      <c r="DK233" s="249"/>
      <c r="DL233" s="250"/>
      <c r="DM233" s="249"/>
      <c r="DN233" s="250"/>
      <c r="DO233" s="249"/>
      <c r="DP233" s="250"/>
      <c r="DQ233" s="249"/>
      <c r="DR233" s="250"/>
      <c r="DS233" s="249"/>
      <c r="DT233" s="250"/>
      <c r="DU233" s="249"/>
      <c r="DV233" s="250"/>
      <c r="DW233" s="251">
        <f>+DV233</f>
        <v>0.0371251</v>
      </c>
      <c r="DX233" s="251">
        <f t="shared" ref="DX233:GD233" si="292">+DW233</f>
        <v>0.0371251</v>
      </c>
      <c r="DY233" s="251"/>
      <c r="DZ233" s="251"/>
      <c r="EA233" s="251"/>
      <c r="EB233" s="251"/>
      <c r="EC233" s="251"/>
      <c r="ED233" s="251"/>
      <c r="EE233" s="251"/>
      <c r="EF233" s="251"/>
      <c r="EG233" s="251"/>
      <c r="EH233" s="251"/>
      <c r="EI233" s="251"/>
      <c r="EJ233" s="251"/>
      <c r="EK233" s="251"/>
      <c r="EL233" s="251"/>
      <c r="EM233" s="251"/>
      <c r="EN233" s="251"/>
      <c r="EO233" s="251"/>
      <c r="EP233" s="251"/>
      <c r="EQ233" s="251"/>
      <c r="ER233" s="251"/>
      <c r="ES233" s="251"/>
      <c r="ET233" s="251"/>
      <c r="EU233" s="251"/>
      <c r="EV233" s="251"/>
      <c r="EW233" s="251"/>
      <c r="EX233" s="251"/>
      <c r="EY233" s="251"/>
      <c r="EZ233" s="251"/>
      <c r="FA233" s="251"/>
      <c r="FB233" s="251"/>
      <c r="FC233" s="251"/>
      <c r="FD233" s="251"/>
      <c r="FE233" s="251"/>
      <c r="FF233" s="251"/>
      <c r="FG233" s="251"/>
      <c r="FH233" s="251"/>
      <c r="FI233" s="251"/>
      <c r="FJ233" s="251"/>
      <c r="FK233" s="251"/>
      <c r="FL233" s="251"/>
      <c r="FM233" s="251"/>
      <c r="FN233" s="251"/>
      <c r="FO233" s="251"/>
      <c r="FP233" s="251"/>
      <c r="FQ233" s="251"/>
      <c r="FR233" s="251"/>
      <c r="FS233" s="251"/>
      <c r="FT233" s="251"/>
      <c r="FU233" s="251"/>
      <c r="FV233" s="251"/>
      <c r="FW233" s="251"/>
      <c r="FX233" s="251"/>
      <c r="FY233" s="251"/>
      <c r="FZ233" s="251"/>
      <c r="GA233" s="251"/>
      <c r="GB233" s="251"/>
      <c r="GC233" s="251"/>
      <c r="GD233" s="251"/>
    </row>
    <row r="234" ht="21" customHeight="1" spans="7:186" x14ac:dyDescent="0.25">
      <c r="G234" s="240"/>
      <c r="H234" s="252"/>
      <c r="I234" s="253">
        <f>H234</f>
        <v>0.035</v>
      </c>
      <c r="J234" s="253">
        <f t="shared" ref="J234:X234" si="293">I234</f>
        <v>0.035</v>
      </c>
      <c r="K234" s="253"/>
      <c r="L234" s="253"/>
      <c r="M234" s="253"/>
      <c r="N234" s="253"/>
      <c r="O234" s="253"/>
      <c r="P234" s="253"/>
      <c r="Q234" s="253"/>
      <c r="R234" s="253"/>
      <c r="S234" s="253"/>
      <c r="T234" s="253"/>
      <c r="U234" s="253"/>
      <c r="V234" s="253"/>
      <c r="W234" s="253"/>
      <c r="X234" s="253"/>
      <c r="Y234" s="253">
        <f t="shared" ref="Y234" si="294">X234</f>
        <v>0.035</v>
      </c>
      <c r="Z234" s="253">
        <f t="shared" ref="Z234" si="295">Y234</f>
        <v>0.035</v>
      </c>
      <c r="AA234" s="253">
        <f t="shared" ref="AA234" si="296">Z234</f>
        <v>0.035</v>
      </c>
      <c r="AB234" s="253">
        <f t="shared" ref="AB234" si="297">AA234</f>
        <v>0.035</v>
      </c>
      <c r="AC234" s="253">
        <f t="shared" ref="AC234" si="298">AB234</f>
        <v>0.035</v>
      </c>
      <c r="AD234" s="253">
        <f t="shared" ref="AD234" si="299">AC234</f>
        <v>0.035</v>
      </c>
      <c r="AE234" s="253">
        <f t="shared" ref="AE234" si="300">AD234</f>
        <v>0.035</v>
      </c>
      <c r="AF234" s="253">
        <f t="shared" ref="AF234" si="301">AE234</f>
        <v>0.035</v>
      </c>
      <c r="AG234" s="253">
        <f t="shared" ref="AG234" si="302">AF234</f>
        <v>0.035</v>
      </c>
      <c r="AH234" s="253">
        <f t="shared" ref="AH234" si="303">AG234</f>
        <v>0.035</v>
      </c>
      <c r="AI234" s="253">
        <f t="shared" ref="AI234" si="304">AH234</f>
        <v>0.035</v>
      </c>
      <c r="AJ234" s="253">
        <f t="shared" ref="AJ234" si="305">AI234</f>
        <v>0.035</v>
      </c>
      <c r="AK234" s="253">
        <f t="shared" ref="AK234" si="306">AJ234</f>
        <v>0.035</v>
      </c>
      <c r="AL234" s="253">
        <f t="shared" ref="AL234" si="307">AK234</f>
        <v>0.035</v>
      </c>
      <c r="AM234" s="253">
        <f t="shared" ref="AM234" si="308">AL234</f>
        <v>0.035</v>
      </c>
      <c r="AN234" s="253">
        <f t="shared" ref="AN234" si="309">AM234</f>
        <v>0.035</v>
      </c>
      <c r="AO234" s="253">
        <f t="shared" ref="AO234" si="310">AN234</f>
        <v>0.035</v>
      </c>
      <c r="AP234" s="253">
        <f t="shared" ref="AP234" si="311">AO234</f>
        <v>0.035</v>
      </c>
      <c r="AQ234" s="253">
        <f t="shared" ref="AQ234" si="312">AP234</f>
        <v>0.035</v>
      </c>
      <c r="AR234" s="253">
        <f t="shared" ref="AR234" si="313">AQ234</f>
        <v>0.035</v>
      </c>
      <c r="AS234" s="253">
        <f t="shared" ref="AS234" si="314">AR234</f>
        <v>0.035</v>
      </c>
      <c r="AT234" s="253">
        <f t="shared" ref="AT234" si="315">AS234</f>
        <v>0.035</v>
      </c>
      <c r="AU234" s="253">
        <f t="shared" ref="AU234" si="316">AT234</f>
        <v>0.035</v>
      </c>
      <c r="AV234" s="253">
        <f t="shared" ref="AV234" si="317">AU234</f>
        <v>0.035</v>
      </c>
      <c r="AW234" s="253">
        <f t="shared" ref="AW234" si="318">AV234</f>
        <v>0.035</v>
      </c>
      <c r="AX234" s="253">
        <f t="shared" ref="AX234" si="319">AW234</f>
        <v>0.035</v>
      </c>
      <c r="AY234" s="253">
        <f t="shared" ref="AY234" si="320">AX234</f>
        <v>0.035</v>
      </c>
      <c r="AZ234" s="253">
        <f t="shared" ref="AZ234" si="321">AY234</f>
        <v>0.035</v>
      </c>
      <c r="BA234" s="253">
        <f t="shared" ref="BA234" si="322">AZ234</f>
        <v>0.035</v>
      </c>
      <c r="BB234" s="253">
        <f t="shared" ref="BB234" si="323">BA234</f>
        <v>0.035</v>
      </c>
      <c r="BC234" s="253">
        <f t="shared" ref="BC234" si="324">BB234</f>
        <v>0.035</v>
      </c>
      <c r="BD234" s="253">
        <f t="shared" ref="BD234" si="325">BC234</f>
        <v>0.035</v>
      </c>
      <c r="BE234" s="253">
        <f t="shared" ref="BE234" si="326">BD234</f>
        <v>0.035</v>
      </c>
      <c r="BF234" s="253">
        <f t="shared" ref="BF234" si="327">BE234</f>
        <v>0.035</v>
      </c>
      <c r="BG234" s="253">
        <f t="shared" ref="BG234" si="328">BF234</f>
        <v>0.035</v>
      </c>
      <c r="BH234" s="253">
        <f t="shared" ref="BH234" si="329">BG234</f>
        <v>0.035</v>
      </c>
      <c r="BI234" s="253">
        <f t="shared" ref="BI234" si="330">BH234</f>
        <v>0.035</v>
      </c>
      <c r="BJ234" s="253">
        <f t="shared" ref="BJ234" si="331">BI234</f>
        <v>0.035</v>
      </c>
      <c r="BK234" s="253">
        <f t="shared" ref="BK234" si="332">BJ234</f>
        <v>0.035</v>
      </c>
      <c r="BL234" s="253">
        <f t="shared" ref="BL234" si="333">BK234</f>
        <v>0.035</v>
      </c>
      <c r="BM234" s="253">
        <f t="shared" ref="BM234" si="334">BL234</f>
        <v>0.035</v>
      </c>
      <c r="BN234" s="253">
        <f t="shared" ref="BN234" si="335">BM234</f>
        <v>0.035</v>
      </c>
      <c r="BO234" s="253">
        <f t="shared" ref="BO234" si="336">BN234</f>
        <v>0.035</v>
      </c>
      <c r="BP234" s="253">
        <f t="shared" ref="BP234" si="337">BO234</f>
        <v>0.035</v>
      </c>
      <c r="BQ234" s="253">
        <f t="shared" ref="BQ234" si="338">BP234</f>
        <v>0.035</v>
      </c>
      <c r="BR234" s="253">
        <f t="shared" ref="BR234" si="339">BQ234</f>
        <v>0.035</v>
      </c>
      <c r="BS234" s="253">
        <f t="shared" ref="BS234" si="340">BR234</f>
        <v>0.035</v>
      </c>
      <c r="BT234" s="253">
        <f t="shared" ref="BT234" si="341">BS234</f>
        <v>0.035</v>
      </c>
      <c r="BU234" s="253">
        <f t="shared" ref="BU234" si="342">BT234</f>
        <v>0.035</v>
      </c>
      <c r="BV234" s="253">
        <f t="shared" ref="BV234" si="343">BU234</f>
        <v>0.035</v>
      </c>
      <c r="BW234" s="253">
        <f t="shared" ref="BW234" si="344">BV234</f>
        <v>0.035</v>
      </c>
      <c r="BX234" s="253">
        <f t="shared" ref="BX234" si="345">BW234</f>
        <v>0.035</v>
      </c>
      <c r="BY234" s="253">
        <f t="shared" ref="BY234" si="346">BX234</f>
        <v>0.035</v>
      </c>
      <c r="BZ234" s="253">
        <f t="shared" ref="BZ234" si="347">BY234</f>
        <v>0.035</v>
      </c>
      <c r="CA234" s="253">
        <f t="shared" ref="CA234" si="348">BZ234</f>
        <v>0.035</v>
      </c>
      <c r="CB234" s="253">
        <f t="shared" ref="CB234" si="349">CA234</f>
        <v>0.035</v>
      </c>
      <c r="CC234" s="253">
        <f t="shared" ref="CC234" si="350">CB234</f>
        <v>0.035</v>
      </c>
      <c r="CD234" s="253">
        <f t="shared" ref="CD234" si="351">CC234</f>
        <v>0.035</v>
      </c>
      <c r="CE234" s="253">
        <f t="shared" ref="CE234" si="352">CD234</f>
        <v>0.035</v>
      </c>
      <c r="CF234" s="253">
        <f t="shared" ref="CF234" si="353">CE234</f>
        <v>0.035</v>
      </c>
      <c r="CG234" s="253">
        <f t="shared" ref="CG234" si="354">CF234</f>
        <v>0.035</v>
      </c>
      <c r="CH234" s="253">
        <f t="shared" ref="CH234" si="355">CG234</f>
        <v>0.035</v>
      </c>
      <c r="CI234" s="253">
        <f t="shared" ref="CI234" si="356">CH234</f>
        <v>0.035</v>
      </c>
      <c r="CJ234" s="253">
        <f t="shared" ref="CJ234" si="357">CI234</f>
        <v>0.035</v>
      </c>
      <c r="CK234" s="253">
        <f t="shared" ref="CK234" si="358">CJ234</f>
        <v>0.035</v>
      </c>
      <c r="CL234" s="253">
        <f t="shared" ref="CL234" si="359">CK234</f>
        <v>0.035</v>
      </c>
      <c r="CM234" s="253">
        <f t="shared" ref="CM234" si="360">CL234</f>
        <v>0.035</v>
      </c>
      <c r="CN234" s="253">
        <f t="shared" ref="CN234" si="361">CM234</f>
        <v>0.035</v>
      </c>
      <c r="CO234" s="253">
        <f t="shared" ref="CO234" si="362">CN234</f>
        <v>0.035</v>
      </c>
      <c r="CP234" s="253">
        <f t="shared" ref="CP234" si="363">CO234</f>
        <v>0.035</v>
      </c>
      <c r="CQ234" s="253">
        <f t="shared" ref="CQ234" si="364">CP234</f>
        <v>0.035</v>
      </c>
      <c r="CR234" s="253">
        <f t="shared" ref="CR234" si="365">CQ234</f>
        <v>0.035</v>
      </c>
      <c r="CS234" s="253">
        <f t="shared" ref="CS234" si="366">CR234</f>
        <v>0.035</v>
      </c>
      <c r="CT234" s="253">
        <f t="shared" ref="CT234" si="367">CS234</f>
        <v>0.035</v>
      </c>
      <c r="CU234" s="253">
        <f t="shared" ref="CU234" si="368">CT234</f>
        <v>0.035</v>
      </c>
      <c r="CV234" s="253">
        <f t="shared" ref="CV234" si="369">CU234</f>
        <v>0.035</v>
      </c>
      <c r="CW234" s="253">
        <f t="shared" ref="CW234" si="370">CV234</f>
        <v>0.035</v>
      </c>
      <c r="CX234" s="253">
        <f t="shared" ref="CX234" si="371">CW234</f>
        <v>0.035</v>
      </c>
      <c r="CY234" s="253">
        <f t="shared" ref="CY234" si="372">CX234</f>
        <v>0.035</v>
      </c>
      <c r="CZ234" s="253">
        <f t="shared" ref="CZ234" si="373">CY234</f>
        <v>0.035</v>
      </c>
      <c r="DA234" s="253">
        <f t="shared" ref="DA234" si="374">CZ234</f>
        <v>0.035</v>
      </c>
      <c r="DB234" s="253">
        <f t="shared" ref="DB234" si="375">DA234</f>
        <v>0.035</v>
      </c>
      <c r="DC234" s="253">
        <f t="shared" ref="DC234" si="376">DB234</f>
        <v>0.035</v>
      </c>
      <c r="DD234" s="253">
        <f t="shared" ref="DD234" si="377">DC234</f>
        <v>0.035</v>
      </c>
      <c r="DE234" s="253">
        <f t="shared" ref="DE234" si="378">DD234</f>
        <v>0.035</v>
      </c>
      <c r="DF234" s="253">
        <f t="shared" ref="DF234" si="379">DE234</f>
        <v>0.035</v>
      </c>
      <c r="DG234" s="253">
        <f t="shared" ref="DG234" si="380">DF234</f>
        <v>0.035</v>
      </c>
      <c r="DH234" s="253">
        <f t="shared" ref="DH234" si="381">DG234</f>
        <v>0.035</v>
      </c>
      <c r="DI234" s="253">
        <f t="shared" ref="DI234" si="382">DH234</f>
        <v>0.035</v>
      </c>
      <c r="DJ234" s="253">
        <f t="shared" ref="DJ234" si="383">DI234</f>
        <v>0.035</v>
      </c>
      <c r="DK234" s="253">
        <f t="shared" ref="DK234" si="384">DJ234</f>
        <v>0.035</v>
      </c>
      <c r="DL234" s="253">
        <f t="shared" ref="DL234" si="385">DK234</f>
        <v>0.035</v>
      </c>
      <c r="DM234" s="253">
        <f t="shared" ref="DM234" si="386">DL234</f>
        <v>0.035</v>
      </c>
      <c r="DN234" s="253">
        <f t="shared" ref="DN234" si="387">DM234</f>
        <v>0.035</v>
      </c>
      <c r="DO234" s="253">
        <f t="shared" ref="DO234" si="388">DN234</f>
        <v>0.035</v>
      </c>
      <c r="DP234" s="253">
        <f t="shared" ref="DP234" si="389">DO234</f>
        <v>0.035</v>
      </c>
      <c r="DQ234" s="253">
        <f t="shared" ref="DQ234" si="390">DP234</f>
        <v>0.035</v>
      </c>
      <c r="DR234" s="253">
        <f t="shared" ref="DR234" si="391">DQ234</f>
        <v>0.035</v>
      </c>
      <c r="DS234" s="253">
        <f t="shared" ref="DS234" si="392">DR234</f>
        <v>0.035</v>
      </c>
      <c r="DT234" s="253">
        <f t="shared" ref="DT234" si="393">DS234</f>
        <v>0.035</v>
      </c>
      <c r="DU234" s="253">
        <f t="shared" ref="DU234" si="394">DT234</f>
        <v>0.035</v>
      </c>
      <c r="DV234" s="253">
        <f t="shared" ref="DV234" si="395">DU234</f>
        <v>0.035</v>
      </c>
      <c r="DW234" s="253">
        <f t="shared" ref="DW234" si="396">DV234</f>
        <v>0.035</v>
      </c>
      <c r="DX234" s="253">
        <f t="shared" ref="DX234" si="397">DW234</f>
        <v>0.035</v>
      </c>
      <c r="DY234" s="253">
        <f t="shared" ref="DY234" si="398">DX234</f>
        <v>0.035</v>
      </c>
      <c r="DZ234" s="253">
        <f t="shared" ref="DZ234" si="399">DY234</f>
        <v>0.035</v>
      </c>
      <c r="EA234" s="253">
        <f t="shared" ref="EA234" si="400">DZ234</f>
        <v>0.035</v>
      </c>
      <c r="EB234" s="253">
        <f t="shared" ref="EB234" si="401">EA234</f>
        <v>0.035</v>
      </c>
      <c r="EC234" s="253">
        <f t="shared" ref="EC234" si="402">EB234</f>
        <v>0.035</v>
      </c>
      <c r="ED234" s="253">
        <f t="shared" ref="ED234" si="403">EC234</f>
        <v>0.035</v>
      </c>
      <c r="EE234" s="253">
        <f t="shared" ref="EE234" si="404">ED234</f>
        <v>0.035</v>
      </c>
      <c r="EF234" s="253">
        <f t="shared" ref="EF234" si="405">EE234</f>
        <v>0.035</v>
      </c>
      <c r="EG234" s="253">
        <f t="shared" ref="EG234" si="406">EF234</f>
        <v>0.035</v>
      </c>
      <c r="EH234" s="253">
        <f t="shared" ref="EH234" si="407">EG234</f>
        <v>0.035</v>
      </c>
      <c r="EI234" s="253">
        <f t="shared" ref="EI234" si="408">EH234</f>
        <v>0.035</v>
      </c>
      <c r="EJ234" s="253">
        <f t="shared" ref="EJ234" si="409">EI234</f>
        <v>0.035</v>
      </c>
      <c r="EK234" s="253">
        <f t="shared" ref="EK234" si="410">EJ234</f>
        <v>0.035</v>
      </c>
      <c r="EL234" s="253">
        <f t="shared" ref="EL234" si="411">EK234</f>
        <v>0.035</v>
      </c>
      <c r="EM234" s="253">
        <f t="shared" ref="EM234" si="412">EL234</f>
        <v>0.035</v>
      </c>
      <c r="EN234" s="253">
        <f t="shared" ref="EN234" si="413">EM234</f>
        <v>0.035</v>
      </c>
      <c r="EO234" s="253">
        <f t="shared" ref="EO234" si="414">EN234</f>
        <v>0.035</v>
      </c>
      <c r="EP234" s="253">
        <f t="shared" ref="EP234" si="415">EO234</f>
        <v>0.035</v>
      </c>
      <c r="EQ234" s="253">
        <f t="shared" ref="EQ234" si="416">EP234</f>
        <v>0.035</v>
      </c>
      <c r="ER234" s="253">
        <f t="shared" ref="ER234" si="417">EQ234</f>
        <v>0.035</v>
      </c>
      <c r="ES234" s="253">
        <f t="shared" ref="ES234" si="418">ER234</f>
        <v>0.035</v>
      </c>
      <c r="ET234" s="253">
        <f t="shared" ref="ET234" si="419">ES234</f>
        <v>0.035</v>
      </c>
      <c r="EU234" s="253">
        <f t="shared" ref="EU234" si="420">ET234</f>
        <v>0.035</v>
      </c>
      <c r="EV234" s="253">
        <f t="shared" ref="EV234" si="421">EU234</f>
        <v>0.035</v>
      </c>
      <c r="EW234" s="253">
        <f t="shared" ref="EW234" si="422">EV234</f>
        <v>0.035</v>
      </c>
      <c r="EX234" s="253">
        <f t="shared" ref="EX234" si="423">EW234</f>
        <v>0.035</v>
      </c>
      <c r="EY234" s="253">
        <f t="shared" ref="EY234" si="424">EX234</f>
        <v>0.035</v>
      </c>
      <c r="EZ234" s="253">
        <f t="shared" ref="EZ234" si="425">EY234</f>
        <v>0.035</v>
      </c>
      <c r="FA234" s="253">
        <f t="shared" ref="FA234" si="426">EZ234</f>
        <v>0.035</v>
      </c>
      <c r="FB234" s="253">
        <f t="shared" ref="FB234" si="427">FA234</f>
        <v>0.035</v>
      </c>
      <c r="FC234" s="253">
        <f t="shared" ref="FC234" si="428">FB234</f>
        <v>0.035</v>
      </c>
      <c r="FD234" s="253">
        <f t="shared" ref="FD234" si="429">FC234</f>
        <v>0.035</v>
      </c>
      <c r="FE234" s="253">
        <f t="shared" ref="FE234" si="430">FD234</f>
        <v>0.035</v>
      </c>
      <c r="FF234" s="253">
        <f t="shared" ref="FF234" si="431">FE234</f>
        <v>0.035</v>
      </c>
      <c r="FG234" s="253">
        <f t="shared" ref="FG234" si="432">FF234</f>
        <v>0.035</v>
      </c>
      <c r="FH234" s="253">
        <f t="shared" ref="FH234" si="433">FG234</f>
        <v>0.035</v>
      </c>
      <c r="FI234" s="253">
        <f t="shared" ref="FI234" si="434">FH234</f>
        <v>0.035</v>
      </c>
      <c r="FJ234" s="253">
        <f t="shared" ref="FJ234" si="435">FI234</f>
        <v>0.035</v>
      </c>
      <c r="FK234" s="253">
        <f t="shared" ref="FK234" si="436">FJ234</f>
        <v>0.035</v>
      </c>
      <c r="FL234" s="253">
        <f t="shared" ref="FL234" si="437">FK234</f>
        <v>0.035</v>
      </c>
      <c r="FM234" s="253">
        <f t="shared" ref="FM234" si="438">FL234</f>
        <v>0.035</v>
      </c>
      <c r="FN234" s="253">
        <f t="shared" ref="FN234" si="439">FM234</f>
        <v>0.035</v>
      </c>
      <c r="FO234" s="253">
        <f t="shared" ref="FO234" si="440">FN234</f>
        <v>0.035</v>
      </c>
      <c r="FP234" s="253">
        <f t="shared" ref="FP234" si="441">FO234</f>
        <v>0.035</v>
      </c>
      <c r="FQ234" s="253">
        <f t="shared" ref="FQ234" si="442">FP234</f>
        <v>0.035</v>
      </c>
      <c r="FR234" s="253">
        <f t="shared" ref="FR234" si="443">FQ234</f>
        <v>0.035</v>
      </c>
      <c r="FS234" s="253">
        <f t="shared" ref="FS234" si="444">FR234</f>
        <v>0.035</v>
      </c>
      <c r="FT234" s="253">
        <f t="shared" ref="FT234" si="445">FS234</f>
        <v>0.035</v>
      </c>
      <c r="FU234" s="253">
        <f t="shared" ref="FU234" si="446">FT234</f>
        <v>0.035</v>
      </c>
      <c r="FV234" s="253">
        <f t="shared" ref="FV234" si="447">FU234</f>
        <v>0.035</v>
      </c>
      <c r="FW234" s="253">
        <f t="shared" ref="FW234" si="448">FV234</f>
        <v>0.035</v>
      </c>
      <c r="FX234" s="253">
        <f t="shared" ref="FX234" si="449">FW234</f>
        <v>0.035</v>
      </c>
      <c r="FY234" s="253">
        <f t="shared" ref="FY234" si="450">FX234</f>
        <v>0.035</v>
      </c>
      <c r="FZ234" s="253">
        <f t="shared" ref="FZ234" si="451">FY234</f>
        <v>0.035</v>
      </c>
      <c r="GA234" s="253">
        <f t="shared" ref="GA234" si="452">FZ234</f>
        <v>0.035</v>
      </c>
      <c r="GB234" s="253">
        <f t="shared" ref="GB234" si="453">GA234</f>
        <v>0.035</v>
      </c>
      <c r="GC234" s="253">
        <f t="shared" ref="GC234" si="454">GB234</f>
        <v>0.035</v>
      </c>
      <c r="GD234" s="253">
        <f t="shared" ref="GD234" si="455">GC234</f>
        <v>0.035</v>
      </c>
    </row>
    <row r="235" ht="21" customHeight="1" spans="7:186" x14ac:dyDescent="0.25">
      <c r="G235" s="241"/>
      <c r="H235" s="251">
        <f>+H233+H234</f>
        <v>0.0718249</v>
      </c>
      <c r="I235" s="251">
        <f t="shared" ref="I235:BR235" si="456">+I233+I234</f>
        <v>0.0721392</v>
      </c>
      <c r="J235" s="251"/>
      <c r="K235" s="251"/>
      <c r="L235" s="251"/>
      <c r="M235" s="251"/>
      <c r="N235" s="251"/>
      <c r="O235" s="251"/>
      <c r="P235" s="251"/>
      <c r="Q235" s="251"/>
      <c r="R235" s="251"/>
      <c r="S235" s="251"/>
      <c r="T235" s="251"/>
      <c r="U235" s="251"/>
      <c r="V235" s="251"/>
      <c r="W235" s="251"/>
      <c r="X235" s="251"/>
      <c r="Y235" s="251"/>
      <c r="Z235" s="251"/>
      <c r="AA235" s="251"/>
      <c r="AB235" s="251"/>
      <c r="AC235" s="251"/>
      <c r="AD235" s="251"/>
      <c r="AE235" s="251"/>
      <c r="AF235" s="251"/>
      <c r="AG235" s="251"/>
      <c r="AH235" s="251"/>
      <c r="AI235" s="251"/>
      <c r="AJ235" s="251"/>
      <c r="AK235" s="251"/>
      <c r="AL235" s="251"/>
      <c r="AM235" s="251"/>
      <c r="AN235" s="251"/>
      <c r="AO235" s="251"/>
      <c r="AP235" s="251"/>
      <c r="AQ235" s="251"/>
      <c r="AR235" s="251"/>
      <c r="AS235" s="251"/>
      <c r="AT235" s="251"/>
      <c r="AU235" s="251"/>
      <c r="AV235" s="251"/>
      <c r="AW235" s="251"/>
      <c r="AX235" s="251"/>
      <c r="AY235" s="251"/>
      <c r="AZ235" s="251"/>
      <c r="BA235" s="251"/>
      <c r="BB235" s="251"/>
      <c r="BC235" s="251"/>
      <c r="BD235" s="251"/>
      <c r="BE235" s="251"/>
      <c r="BF235" s="251"/>
      <c r="BG235" s="251"/>
      <c r="BH235" s="251"/>
      <c r="BI235" s="251"/>
      <c r="BJ235" s="251"/>
      <c r="BK235" s="251"/>
      <c r="BL235" s="251"/>
      <c r="BM235" s="251"/>
      <c r="BN235" s="251"/>
      <c r="BO235" s="251"/>
      <c r="BP235" s="251"/>
      <c r="BQ235" s="251"/>
      <c r="BR235" s="251"/>
      <c r="BS235" s="251">
        <f t="shared" ref="BS235:ED235" si="457">+BS233+BS234</f>
        <v>0.075184</v>
      </c>
      <c r="BT235" s="251"/>
      <c r="BU235" s="251"/>
      <c r="BV235" s="251"/>
      <c r="BW235" s="251"/>
      <c r="BX235" s="251"/>
      <c r="BY235" s="251"/>
      <c r="BZ235" s="251"/>
      <c r="CA235" s="251"/>
      <c r="CB235" s="251"/>
      <c r="CC235" s="251"/>
      <c r="CD235" s="251"/>
      <c r="CE235" s="251"/>
      <c r="CF235" s="251"/>
      <c r="CG235" s="251"/>
      <c r="CH235" s="251"/>
      <c r="CI235" s="251"/>
      <c r="CJ235" s="251"/>
      <c r="CK235" s="251"/>
      <c r="CL235" s="251"/>
      <c r="CM235" s="251"/>
      <c r="CN235" s="251"/>
      <c r="CO235" s="251"/>
      <c r="CP235" s="251"/>
      <c r="CQ235" s="251"/>
      <c r="CR235" s="251"/>
      <c r="CS235" s="251"/>
      <c r="CT235" s="251"/>
      <c r="CU235" s="251"/>
      <c r="CV235" s="251"/>
      <c r="CW235" s="251"/>
      <c r="CX235" s="251"/>
      <c r="CY235" s="251"/>
      <c r="CZ235" s="251"/>
      <c r="DA235" s="251"/>
      <c r="DB235" s="251"/>
      <c r="DC235" s="251"/>
      <c r="DD235" s="251"/>
      <c r="DE235" s="251"/>
      <c r="DF235" s="251"/>
      <c r="DG235" s="251"/>
      <c r="DH235" s="251"/>
      <c r="DI235" s="251"/>
      <c r="DJ235" s="251"/>
      <c r="DK235" s="251"/>
      <c r="DL235" s="251"/>
      <c r="DM235" s="251"/>
      <c r="DN235" s="251"/>
      <c r="DO235" s="251"/>
      <c r="DP235" s="251"/>
      <c r="DQ235" s="251"/>
      <c r="DR235" s="251"/>
      <c r="DS235" s="251"/>
      <c r="DT235" s="251"/>
      <c r="DU235" s="251"/>
      <c r="DV235" s="251"/>
      <c r="DW235" s="251"/>
      <c r="DX235" s="251"/>
      <c r="DY235" s="251"/>
      <c r="DZ235" s="251"/>
      <c r="EA235" s="251"/>
      <c r="EB235" s="251"/>
      <c r="EC235" s="251"/>
      <c r="ED235" s="251"/>
      <c r="EE235" s="251">
        <f t="shared" ref="EE235:GD235" si="458">+EE233+EE234</f>
        <v>0.0721251</v>
      </c>
      <c r="EF235" s="251"/>
      <c r="EG235" s="251"/>
      <c r="EH235" s="251"/>
      <c r="EI235" s="251"/>
      <c r="EJ235" s="251"/>
      <c r="EK235" s="251"/>
      <c r="EL235" s="251"/>
      <c r="EM235" s="251"/>
      <c r="EN235" s="251"/>
      <c r="EO235" s="251"/>
      <c r="EP235" s="251"/>
      <c r="EQ235" s="251"/>
      <c r="ER235" s="251"/>
      <c r="ES235" s="251"/>
      <c r="ET235" s="251"/>
      <c r="EU235" s="251"/>
      <c r="EV235" s="251"/>
      <c r="EW235" s="251"/>
      <c r="EX235" s="251"/>
      <c r="EY235" s="251"/>
      <c r="EZ235" s="251"/>
      <c r="FA235" s="251"/>
      <c r="FB235" s="251"/>
      <c r="FC235" s="251"/>
      <c r="FD235" s="251"/>
      <c r="FE235" s="251"/>
      <c r="FF235" s="251"/>
      <c r="FG235" s="251"/>
      <c r="FH235" s="251"/>
      <c r="FI235" s="251"/>
      <c r="FJ235" s="251"/>
      <c r="FK235" s="251"/>
      <c r="FL235" s="251"/>
      <c r="FM235" s="251"/>
      <c r="FN235" s="251"/>
      <c r="FO235" s="251"/>
      <c r="FP235" s="251"/>
      <c r="FQ235" s="251"/>
      <c r="FR235" s="251"/>
      <c r="FS235" s="251"/>
      <c r="FT235" s="251"/>
      <c r="FU235" s="251"/>
      <c r="FV235" s="251"/>
      <c r="FW235" s="251"/>
      <c r="FX235" s="251"/>
      <c r="FY235" s="251"/>
      <c r="FZ235" s="251"/>
      <c r="GA235" s="251"/>
      <c r="GB235" s="251"/>
      <c r="GC235" s="251"/>
      <c r="GD235" s="251"/>
    </row>
    <row r="236" spans="7:186" x14ac:dyDescent="0.25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</row>
    <row r="237" ht="21" customHeight="1" spans="7:186" x14ac:dyDescent="0.25">
      <c r="G237" s="240"/>
      <c r="H237" s="254"/>
      <c r="I237" s="255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</row>
    <row r="238" spans="7:186" x14ac:dyDescent="0.25">
      <c r="G238" s="97"/>
      <c r="H238" s="256"/>
      <c r="I238" s="257"/>
      <c r="J238" s="258">
        <f>EOMONTH(DATE(2026,9,1),0)</f>
        <v>46295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</row>
    <row r="239" spans="7:186" x14ac:dyDescent="0.25">
      <c r="G239" s="1"/>
      <c r="H239" s="259"/>
      <c r="I239" s="260"/>
      <c r="J239" s="258">
        <f>EOMONTH(J238,1)</f>
        <v>46326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</row>
    <row r="240" spans="7:186" x14ac:dyDescent="0.25">
      <c r="G240" s="1"/>
      <c r="H240" s="261"/>
      <c r="I240" s="257"/>
      <c r="J240" s="258">
        <f t="shared" ref="J240:J303" si="459">EOMONTH(J239,1)</f>
        <v>46356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</row>
    <row r="241" spans="7:186" x14ac:dyDescent="0.25">
      <c r="G241" s="1"/>
      <c r="H241" s="259"/>
      <c r="I241" s="260"/>
      <c r="J241" s="25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</row>
    <row r="242" spans="7:186" x14ac:dyDescent="0.25">
      <c r="G242" s="1"/>
      <c r="H242" s="261"/>
      <c r="I242" s="257"/>
      <c r="J242" s="25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</row>
    <row r="243" spans="7:186" x14ac:dyDescent="0.25">
      <c r="G243" s="1"/>
      <c r="H243" s="259"/>
      <c r="I243" s="260"/>
      <c r="J243" s="25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</row>
    <row r="244" spans="7:186" x14ac:dyDescent="0.25">
      <c r="G244" s="1"/>
      <c r="H244" s="261"/>
      <c r="I244" s="257"/>
      <c r="J244" s="25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</row>
    <row r="245" spans="7:186" x14ac:dyDescent="0.25">
      <c r="G245" s="1"/>
      <c r="H245" s="259"/>
      <c r="I245" s="260"/>
      <c r="J245" s="25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</row>
    <row r="246" spans="7:186" x14ac:dyDescent="0.25">
      <c r="G246" s="1"/>
      <c r="H246" s="261"/>
      <c r="I246" s="257"/>
      <c r="J246" s="25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</row>
    <row r="247" spans="7:186" x14ac:dyDescent="0.25">
      <c r="G247" s="1"/>
      <c r="H247" s="259"/>
      <c r="I247" s="260"/>
      <c r="J247" s="25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</row>
    <row r="248" spans="7:186" x14ac:dyDescent="0.25">
      <c r="G248" s="1"/>
      <c r="H248" s="261"/>
      <c r="I248" s="257"/>
      <c r="J248" s="25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</row>
    <row r="249" spans="7:186" x14ac:dyDescent="0.25">
      <c r="G249" s="1"/>
      <c r="H249" s="259"/>
      <c r="I249" s="260"/>
      <c r="J249" s="25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</row>
    <row r="250" spans="7:186" x14ac:dyDescent="0.25">
      <c r="G250" s="1"/>
      <c r="H250" s="261"/>
      <c r="I250" s="257"/>
      <c r="J250" s="25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</row>
    <row r="251" spans="7:186" x14ac:dyDescent="0.25">
      <c r="G251" s="1"/>
      <c r="H251" s="259"/>
      <c r="I251" s="260"/>
      <c r="J251" s="25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</row>
    <row r="252" spans="7:186" x14ac:dyDescent="0.25">
      <c r="G252" s="1"/>
      <c r="H252" s="261"/>
      <c r="I252" s="257"/>
      <c r="J252" s="25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</row>
    <row r="253" spans="7:186" x14ac:dyDescent="0.25">
      <c r="G253" s="1"/>
      <c r="H253" s="259"/>
      <c r="I253" s="260"/>
      <c r="J253" s="25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</row>
    <row r="254" spans="7:186" x14ac:dyDescent="0.25">
      <c r="G254" s="1"/>
      <c r="H254" s="261"/>
      <c r="I254" s="257"/>
      <c r="J254" s="25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</row>
    <row r="255" spans="7:186" x14ac:dyDescent="0.25">
      <c r="G255" s="1"/>
      <c r="H255" s="259"/>
      <c r="I255" s="260"/>
      <c r="J255" s="25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</row>
    <row r="256" spans="7:186" x14ac:dyDescent="0.25">
      <c r="G256" s="1"/>
      <c r="H256" s="261"/>
      <c r="I256" s="257"/>
      <c r="J256" s="25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</row>
    <row r="257" spans="7:186" x14ac:dyDescent="0.25">
      <c r="G257" s="1"/>
      <c r="H257" s="259"/>
      <c r="I257" s="260"/>
      <c r="J257" s="25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</row>
    <row r="258" spans="7:186" x14ac:dyDescent="0.25">
      <c r="G258" s="1"/>
      <c r="H258" s="261"/>
      <c r="I258" s="257"/>
      <c r="J258" s="25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</row>
    <row r="259" spans="7:186" x14ac:dyDescent="0.25">
      <c r="G259" s="1"/>
      <c r="H259" s="259"/>
      <c r="I259" s="260"/>
      <c r="J259" s="25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</row>
    <row r="260" spans="7:186" x14ac:dyDescent="0.25">
      <c r="G260" s="1"/>
      <c r="H260" s="261"/>
      <c r="I260" s="257"/>
      <c r="J260" s="25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</row>
    <row r="261" spans="7:186" x14ac:dyDescent="0.25">
      <c r="G261" s="1"/>
      <c r="H261" s="259"/>
      <c r="I261" s="260"/>
      <c r="J261" s="25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</row>
    <row r="262" spans="7:186" x14ac:dyDescent="0.25">
      <c r="G262" s="1"/>
      <c r="H262" s="261"/>
      <c r="I262" s="257"/>
      <c r="J262" s="25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</row>
    <row r="263" spans="7:186" x14ac:dyDescent="0.25">
      <c r="G263" s="1"/>
      <c r="H263" s="259"/>
      <c r="I263" s="260"/>
      <c r="J263" s="25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</row>
    <row r="264" spans="7:186" x14ac:dyDescent="0.25">
      <c r="G264" s="1"/>
      <c r="H264" s="261"/>
      <c r="I264" s="257"/>
      <c r="J264" s="25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</row>
    <row r="265" spans="7:186" x14ac:dyDescent="0.25">
      <c r="G265" s="1"/>
      <c r="H265" s="259"/>
      <c r="I265" s="260"/>
      <c r="J265" s="25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</row>
    <row r="266" spans="7:186" x14ac:dyDescent="0.25">
      <c r="G266" s="1"/>
      <c r="H266" s="261"/>
      <c r="I266" s="257"/>
      <c r="J266" s="25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</row>
    <row r="267" spans="7:186" x14ac:dyDescent="0.25">
      <c r="G267" s="1"/>
      <c r="H267" s="259"/>
      <c r="I267" s="260"/>
      <c r="J267" s="25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</row>
    <row r="268" spans="7:186" x14ac:dyDescent="0.25">
      <c r="G268" s="1"/>
      <c r="H268" s="261"/>
      <c r="I268" s="257"/>
      <c r="J268" s="25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</row>
    <row r="269" spans="7:186" x14ac:dyDescent="0.25">
      <c r="G269" s="1"/>
      <c r="H269" s="259"/>
      <c r="I269" s="260"/>
      <c r="J269" s="25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</row>
    <row r="270" spans="7:186" x14ac:dyDescent="0.25">
      <c r="G270" s="1"/>
      <c r="H270" s="261"/>
      <c r="I270" s="257"/>
      <c r="J270" s="25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</row>
    <row r="271" spans="7:186" x14ac:dyDescent="0.25">
      <c r="G271" s="1"/>
      <c r="H271" s="259"/>
      <c r="I271" s="260"/>
      <c r="J271" s="25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</row>
    <row r="272" spans="7:186" x14ac:dyDescent="0.25">
      <c r="G272" s="1"/>
      <c r="H272" s="261"/>
      <c r="I272" s="257"/>
      <c r="J272" s="25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</row>
    <row r="273" spans="7:186" x14ac:dyDescent="0.25">
      <c r="G273" s="1"/>
      <c r="H273" s="259"/>
      <c r="I273" s="260"/>
      <c r="J273" s="25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</row>
    <row r="274" spans="7:186" x14ac:dyDescent="0.25">
      <c r="G274" s="1"/>
      <c r="H274" s="261"/>
      <c r="I274" s="257"/>
      <c r="J274" s="25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</row>
    <row r="275" spans="7:186" x14ac:dyDescent="0.25">
      <c r="G275" s="1"/>
      <c r="H275" s="259"/>
      <c r="I275" s="260"/>
      <c r="J275" s="25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</row>
    <row r="276" spans="7:186" x14ac:dyDescent="0.25">
      <c r="G276" s="1"/>
      <c r="H276" s="261"/>
      <c r="I276" s="257"/>
      <c r="J276" s="25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</row>
    <row r="277" spans="7:186" x14ac:dyDescent="0.25">
      <c r="G277" s="1"/>
      <c r="H277" s="259"/>
      <c r="I277" s="260"/>
      <c r="J277" s="25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</row>
    <row r="278" spans="7:186" x14ac:dyDescent="0.25">
      <c r="G278" s="1"/>
      <c r="H278" s="261"/>
      <c r="I278" s="257"/>
      <c r="J278" s="25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</row>
    <row r="279" spans="7:186" x14ac:dyDescent="0.25">
      <c r="G279" s="1"/>
      <c r="H279" s="259"/>
      <c r="I279" s="260"/>
      <c r="J279" s="25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</row>
    <row r="280" spans="7:186" x14ac:dyDescent="0.25">
      <c r="G280" s="1"/>
      <c r="H280" s="261"/>
      <c r="I280" s="257"/>
      <c r="J280" s="25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</row>
    <row r="281" spans="7:186" x14ac:dyDescent="0.25">
      <c r="G281" s="1"/>
      <c r="H281" s="259"/>
      <c r="I281" s="260"/>
      <c r="J281" s="25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</row>
    <row r="282" spans="7:186" x14ac:dyDescent="0.25">
      <c r="G282" s="1"/>
      <c r="H282" s="261"/>
      <c r="I282" s="257"/>
      <c r="J282" s="25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</row>
    <row r="283" spans="7:186" x14ac:dyDescent="0.25">
      <c r="G283" s="1"/>
      <c r="H283" s="259"/>
      <c r="I283" s="260"/>
      <c r="J283" s="25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</row>
    <row r="284" spans="7:186" x14ac:dyDescent="0.25">
      <c r="G284" s="1"/>
      <c r="H284" s="261"/>
      <c r="I284" s="257"/>
      <c r="J284" s="25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</row>
    <row r="285" spans="7:186" x14ac:dyDescent="0.25">
      <c r="G285" s="1"/>
      <c r="H285" s="259"/>
      <c r="I285" s="260"/>
      <c r="J285" s="25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</row>
    <row r="286" spans="7:186" x14ac:dyDescent="0.25">
      <c r="G286" s="1"/>
      <c r="H286" s="261"/>
      <c r="I286" s="257"/>
      <c r="J286" s="25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</row>
    <row r="287" spans="7:186" x14ac:dyDescent="0.25">
      <c r="G287" s="1"/>
      <c r="H287" s="259"/>
      <c r="I287" s="260"/>
      <c r="J287" s="25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</row>
    <row r="288" spans="7:186" x14ac:dyDescent="0.25">
      <c r="G288" s="1"/>
      <c r="H288" s="261"/>
      <c r="I288" s="257"/>
      <c r="J288" s="25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</row>
    <row r="289" spans="7:186" x14ac:dyDescent="0.25">
      <c r="G289" s="1"/>
      <c r="H289" s="259"/>
      <c r="I289" s="260"/>
      <c r="J289" s="25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</row>
    <row r="290" spans="7:186" x14ac:dyDescent="0.25">
      <c r="G290" s="1"/>
      <c r="H290" s="261"/>
      <c r="I290" s="257"/>
      <c r="J290" s="25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</row>
    <row r="291" spans="7:186" x14ac:dyDescent="0.25">
      <c r="G291" s="1"/>
      <c r="H291" s="259"/>
      <c r="I291" s="260"/>
      <c r="J291" s="25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</row>
    <row r="292" spans="7:186" x14ac:dyDescent="0.25">
      <c r="G292" s="1"/>
      <c r="H292" s="261"/>
      <c r="I292" s="257"/>
      <c r="J292" s="25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</row>
    <row r="293" spans="7:186" x14ac:dyDescent="0.25">
      <c r="G293" s="1"/>
      <c r="H293" s="259"/>
      <c r="I293" s="260"/>
      <c r="J293" s="25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</row>
    <row r="294" spans="7:186" x14ac:dyDescent="0.25">
      <c r="G294" s="1"/>
      <c r="H294" s="261"/>
      <c r="I294" s="257"/>
      <c r="J294" s="25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</row>
    <row r="295" spans="7:186" x14ac:dyDescent="0.25">
      <c r="G295" s="1"/>
      <c r="H295" s="259"/>
      <c r="I295" s="260"/>
      <c r="J295" s="25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</row>
    <row r="296" spans="7:186" x14ac:dyDescent="0.25">
      <c r="G296" s="1"/>
      <c r="H296" s="261"/>
      <c r="I296" s="257"/>
      <c r="J296" s="25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</row>
    <row r="297" spans="7:186" x14ac:dyDescent="0.25">
      <c r="G297" s="1"/>
      <c r="H297" s="259"/>
      <c r="I297" s="260"/>
      <c r="J297" s="25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</row>
    <row r="298" spans="7:186" x14ac:dyDescent="0.25">
      <c r="G298" s="1"/>
      <c r="H298" s="261"/>
      <c r="I298" s="257"/>
      <c r="J298" s="25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</row>
    <row r="299" spans="7:186" x14ac:dyDescent="0.25">
      <c r="G299" s="1"/>
      <c r="H299" s="259"/>
      <c r="I299" s="260"/>
      <c r="J299" s="25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</row>
    <row r="300" spans="7:186" x14ac:dyDescent="0.25">
      <c r="G300" s="1"/>
      <c r="H300" s="261"/>
      <c r="I300" s="257"/>
      <c r="J300" s="25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</row>
    <row r="301" spans="7:186" x14ac:dyDescent="0.25">
      <c r="G301" s="1"/>
      <c r="H301" s="259"/>
      <c r="I301" s="260"/>
      <c r="J301" s="25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</row>
    <row r="302" spans="7:186" x14ac:dyDescent="0.25">
      <c r="G302" s="1"/>
      <c r="H302" s="261"/>
      <c r="I302" s="257"/>
      <c r="J302" s="25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</row>
    <row r="303" spans="7:186" x14ac:dyDescent="0.25">
      <c r="G303" s="1"/>
      <c r="H303" s="259"/>
      <c r="I303" s="260"/>
      <c r="J303" s="25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</row>
    <row r="304" spans="7:186" x14ac:dyDescent="0.25">
      <c r="G304" s="1"/>
      <c r="H304" s="261"/>
      <c r="I304" s="257"/>
      <c r="J304" s="258">
        <f t="shared" ref="J304:J358" si="460">EOMONTH(J303,1)</f>
        <v>48304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</row>
    <row r="305" spans="7:186" x14ac:dyDescent="0.25">
      <c r="G305" s="1"/>
      <c r="H305" s="259"/>
      <c r="I305" s="260"/>
      <c r="J305" s="25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</row>
    <row r="306" spans="7:186" x14ac:dyDescent="0.25">
      <c r="G306" s="1"/>
      <c r="H306" s="261"/>
      <c r="I306" s="257"/>
      <c r="J306" s="25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</row>
    <row r="307" spans="7:186" x14ac:dyDescent="0.25">
      <c r="G307" s="1"/>
      <c r="H307" s="259"/>
      <c r="I307" s="260"/>
      <c r="J307" s="25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</row>
    <row r="308" spans="7:186" x14ac:dyDescent="0.25">
      <c r="G308" s="1"/>
      <c r="H308" s="261"/>
      <c r="I308" s="257"/>
      <c r="J308" s="25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</row>
    <row r="309" spans="7:186" x14ac:dyDescent="0.25">
      <c r="G309" s="1"/>
      <c r="H309" s="259"/>
      <c r="I309" s="260"/>
      <c r="J309" s="25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</row>
    <row r="310" spans="7:186" x14ac:dyDescent="0.25">
      <c r="G310" s="1"/>
      <c r="H310" s="261"/>
      <c r="I310" s="257"/>
      <c r="J310" s="25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</row>
    <row r="311" spans="7:186" x14ac:dyDescent="0.25">
      <c r="G311" s="1"/>
      <c r="H311" s="259"/>
      <c r="I311" s="260"/>
      <c r="J311" s="25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</row>
    <row r="312" spans="7:186" x14ac:dyDescent="0.25">
      <c r="G312" s="1"/>
      <c r="H312" s="261"/>
      <c r="I312" s="257"/>
      <c r="J312" s="25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</row>
    <row r="313" spans="7:186" x14ac:dyDescent="0.25">
      <c r="G313" s="1"/>
      <c r="H313" s="259"/>
      <c r="I313" s="260"/>
      <c r="J313" s="25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</row>
    <row r="314" spans="7:186" x14ac:dyDescent="0.25">
      <c r="G314" s="1"/>
      <c r="H314" s="261"/>
      <c r="I314" s="257"/>
      <c r="J314" s="25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</row>
    <row r="315" spans="7:186" x14ac:dyDescent="0.25">
      <c r="G315" s="1"/>
      <c r="H315" s="259"/>
      <c r="I315" s="260"/>
      <c r="J315" s="25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</row>
    <row r="316" spans="7:186" x14ac:dyDescent="0.25">
      <c r="G316" s="1"/>
      <c r="H316" s="261"/>
      <c r="I316" s="257"/>
      <c r="J316" s="25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</row>
    <row r="317" spans="7:186" x14ac:dyDescent="0.25">
      <c r="G317" s="1"/>
      <c r="H317" s="259"/>
      <c r="I317" s="260"/>
      <c r="J317" s="25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</row>
    <row r="318" spans="7:186" x14ac:dyDescent="0.25">
      <c r="G318" s="1"/>
      <c r="H318" s="261"/>
      <c r="I318" s="257"/>
      <c r="J318" s="25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</row>
    <row r="319" spans="7:186" x14ac:dyDescent="0.25">
      <c r="G319" s="1"/>
      <c r="H319" s="259"/>
      <c r="I319" s="260"/>
      <c r="J319" s="25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</row>
    <row r="320" spans="7:186" x14ac:dyDescent="0.25">
      <c r="G320" s="1"/>
      <c r="H320" s="261"/>
      <c r="I320" s="257"/>
      <c r="J320" s="25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</row>
    <row r="321" spans="7:186" x14ac:dyDescent="0.25">
      <c r="G321" s="1"/>
      <c r="H321" s="259"/>
      <c r="I321" s="260"/>
      <c r="J321" s="25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</row>
    <row r="322" spans="7:186" x14ac:dyDescent="0.25">
      <c r="G322" s="1"/>
      <c r="H322" s="261"/>
      <c r="I322" s="257"/>
      <c r="J322" s="25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</row>
    <row r="323" spans="7:186" x14ac:dyDescent="0.25">
      <c r="G323" s="1"/>
      <c r="H323" s="259"/>
      <c r="I323" s="260"/>
      <c r="J323" s="25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</row>
    <row r="324" spans="7:186" x14ac:dyDescent="0.25">
      <c r="G324" s="1"/>
      <c r="H324" s="261"/>
      <c r="I324" s="257"/>
      <c r="J324" s="25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</row>
    <row r="325" spans="7:186" x14ac:dyDescent="0.25">
      <c r="G325" s="1"/>
      <c r="H325" s="259"/>
      <c r="I325" s="260"/>
      <c r="J325" s="25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</row>
    <row r="326" spans="7:186" x14ac:dyDescent="0.25">
      <c r="G326" s="1"/>
      <c r="H326" s="261"/>
      <c r="I326" s="257"/>
      <c r="J326" s="25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</row>
    <row r="327" spans="7:186" x14ac:dyDescent="0.25">
      <c r="G327" s="1"/>
      <c r="H327" s="259"/>
      <c r="I327" s="260"/>
      <c r="J327" s="25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</row>
    <row r="328" spans="7:186" x14ac:dyDescent="0.25">
      <c r="G328" s="1"/>
      <c r="H328" s="261"/>
      <c r="I328" s="257"/>
      <c r="J328" s="25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</row>
    <row r="329" spans="7:186" x14ac:dyDescent="0.25">
      <c r="G329" s="1"/>
      <c r="H329" s="259"/>
      <c r="I329" s="260"/>
      <c r="J329" s="25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</row>
    <row r="330" spans="7:186" x14ac:dyDescent="0.25">
      <c r="G330" s="1"/>
      <c r="H330" s="261"/>
      <c r="I330" s="257"/>
      <c r="J330" s="25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</row>
    <row r="331" spans="7:186" x14ac:dyDescent="0.25">
      <c r="G331" s="1"/>
      <c r="H331" s="259"/>
      <c r="I331" s="260"/>
      <c r="J331" s="25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</row>
    <row r="332" spans="7:186" x14ac:dyDescent="0.25">
      <c r="G332" s="1"/>
      <c r="H332" s="261"/>
      <c r="I332" s="257"/>
      <c r="J332" s="25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</row>
    <row r="333" spans="7:186" x14ac:dyDescent="0.25">
      <c r="G333" s="1"/>
      <c r="H333" s="259"/>
      <c r="I333" s="260"/>
      <c r="J333" s="25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</row>
    <row r="334" spans="7:186" x14ac:dyDescent="0.25">
      <c r="G334" s="1"/>
      <c r="H334" s="261"/>
      <c r="I334" s="257"/>
      <c r="J334" s="25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</row>
    <row r="335" spans="7:186" x14ac:dyDescent="0.25">
      <c r="G335" s="1"/>
      <c r="H335" s="259"/>
      <c r="I335" s="260"/>
      <c r="J335" s="25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</row>
    <row r="336" spans="7:186" x14ac:dyDescent="0.25">
      <c r="G336" s="1"/>
      <c r="H336" s="261"/>
      <c r="I336" s="257"/>
      <c r="J336" s="25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</row>
    <row r="337" spans="7:186" x14ac:dyDescent="0.25">
      <c r="G337" s="1"/>
      <c r="H337" s="259"/>
      <c r="I337" s="260"/>
      <c r="J337" s="25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</row>
    <row r="338" spans="7:186" x14ac:dyDescent="0.25">
      <c r="G338" s="1"/>
      <c r="H338" s="261"/>
      <c r="I338" s="257"/>
      <c r="J338" s="25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</row>
    <row r="339" spans="7:186" x14ac:dyDescent="0.25">
      <c r="G339" s="1"/>
      <c r="H339" s="259"/>
      <c r="I339" s="260"/>
      <c r="J339" s="25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</row>
    <row r="340" spans="7:186" x14ac:dyDescent="0.25">
      <c r="G340" s="1"/>
      <c r="H340" s="261"/>
      <c r="I340" s="257"/>
      <c r="J340" s="25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</row>
    <row r="341" spans="7:186" x14ac:dyDescent="0.25">
      <c r="G341" s="1"/>
      <c r="H341" s="259"/>
      <c r="I341" s="260"/>
      <c r="J341" s="25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</row>
    <row r="342" spans="7:186" x14ac:dyDescent="0.25">
      <c r="G342" s="1"/>
      <c r="H342" s="261"/>
      <c r="I342" s="257"/>
      <c r="J342" s="25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</row>
    <row r="343" spans="7:186" x14ac:dyDescent="0.25">
      <c r="G343" s="1"/>
      <c r="H343" s="259"/>
      <c r="I343" s="260"/>
      <c r="J343" s="25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</row>
    <row r="344" spans="7:186" x14ac:dyDescent="0.25">
      <c r="G344" s="1"/>
      <c r="H344" s="261"/>
      <c r="I344" s="257"/>
      <c r="J344" s="25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</row>
    <row r="345" spans="7:186" x14ac:dyDescent="0.25">
      <c r="G345" s="1"/>
      <c r="H345" s="259"/>
      <c r="I345" s="260"/>
      <c r="J345" s="25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</row>
    <row r="346" spans="7:186" x14ac:dyDescent="0.25">
      <c r="G346" s="1"/>
      <c r="H346" s="261"/>
      <c r="I346" s="257"/>
      <c r="J346" s="25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</row>
    <row r="347" spans="7:186" x14ac:dyDescent="0.25">
      <c r="G347" s="1"/>
      <c r="H347" s="259"/>
      <c r="I347" s="260"/>
      <c r="J347" s="25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</row>
    <row r="348" spans="7:186" x14ac:dyDescent="0.25">
      <c r="G348" s="1"/>
      <c r="H348" s="261"/>
      <c r="I348" s="257"/>
      <c r="J348" s="25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</row>
    <row r="349" spans="7:186" x14ac:dyDescent="0.25">
      <c r="G349" s="1"/>
      <c r="H349" s="259"/>
      <c r="I349" s="260"/>
      <c r="J349" s="25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</row>
    <row r="350" spans="7:186" x14ac:dyDescent="0.25">
      <c r="G350" s="1"/>
      <c r="H350" s="261"/>
      <c r="I350" s="257"/>
      <c r="J350" s="25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</row>
    <row r="351" spans="7:186" x14ac:dyDescent="0.25">
      <c r="G351" s="1"/>
      <c r="H351" s="259"/>
      <c r="I351" s="260"/>
      <c r="J351" s="25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</row>
    <row r="352" spans="7:186" x14ac:dyDescent="0.25">
      <c r="G352" s="1"/>
      <c r="H352" s="261"/>
      <c r="I352" s="257"/>
      <c r="J352" s="25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</row>
    <row r="353" spans="7:186" x14ac:dyDescent="0.25">
      <c r="G353" s="1"/>
      <c r="H353" s="259"/>
      <c r="I353" s="260"/>
      <c r="J353" s="25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</row>
    <row r="354" spans="7:186" x14ac:dyDescent="0.25">
      <c r="G354" s="1"/>
      <c r="H354" s="261"/>
      <c r="I354" s="257"/>
      <c r="J354" s="25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</row>
    <row r="355" spans="7:186" x14ac:dyDescent="0.25">
      <c r="G355" s="1"/>
      <c r="H355" s="259"/>
      <c r="I355" s="260"/>
      <c r="J355" s="25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</row>
    <row r="356" spans="7:186" x14ac:dyDescent="0.25">
      <c r="G356" s="1"/>
      <c r="H356" s="261"/>
      <c r="I356" s="257"/>
      <c r="J356" s="25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</row>
    <row r="357" spans="7:186" x14ac:dyDescent="0.25">
      <c r="G357" s="1"/>
      <c r="H357" s="259"/>
      <c r="I357" s="260"/>
      <c r="J357" s="25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</row>
    <row r="358" spans="7:186" x14ac:dyDescent="0.25">
      <c r="G358" s="1"/>
      <c r="H358" s="261"/>
      <c r="I358" s="257"/>
      <c r="J358" s="25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</row>
  </sheetData>
  <conditionalFormatting sqref="C59">
    <cfRule type="expression" dxfId="0" priority="3">
      <formula>$C$59=FALSE</formula>
    </cfRule>
  </conditionalFormatting>
  <conditionalFormatting sqref="C62">
    <cfRule type="expression" dxfId="1" priority="2">
      <formula>$C$62=FALSE</formula>
    </cfRule>
  </conditionalFormatting>
  <pageMargins left="0.7" right="0.7" top="0.75" bottom="0.75" header="0.3" footer="0.3"/>
  <pageSetup paperSize="3" orientation="landscape" horizontalDpi="4294967295" verticalDpi="4294967295" scale="45" fitToWidth="1" fitToHeight="0" firstPageNumber="1" useFirstPageNumber="1" copies="1"/>
  <legacy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D9D9"/>
    <pageSetUpPr fitToPage="1"/>
  </sheetPr>
  <dimension ref="A1:Y79"/>
  <sheetViews>
    <sheetView workbookViewId="0" showGridLines="0" zoomScale="85" zoomScaleNormal="100" view="pageBreakPreview">
      <selection activeCell="N24" sqref="N24"/>
    </sheetView>
  </sheetViews>
  <sheetFormatPr defaultRowHeight="15" outlineLevelRow="1" outlineLevelCol="0" x14ac:dyDescent="0.25"/>
  <cols>
    <col min="1" max="2" width="3.140625" customWidth="1"/>
    <col min="3" max="3" width="39.140625" customWidth="1"/>
    <col min="4" max="14" width="20.7109375" customWidth="1"/>
    <col min="15" max="15" width="3.140625" customWidth="1"/>
    <col min="16" max="16" width="3.7109375" customWidth="1"/>
    <col min="17" max="21" width="12.42578125" customWidth="1"/>
    <col min="22" max="22" width="12.85546875" customWidth="1"/>
    <col min="25" max="25" width="10.85546875" customWidth="1"/>
  </cols>
  <sheetData>
    <row r="1" ht="15" customHeight="1" spans="4:8" x14ac:dyDescent="0.25">
      <c r="D1" s="319" t="s">
        <v>230</v>
      </c>
      <c r="E1" s="319" t="s">
        <v>226</v>
      </c>
      <c r="G1" s="319" t="s">
        <v>258</v>
      </c>
      <c r="H1" s="319" t="s">
        <v>259</v>
      </c>
    </row>
    <row r="2" ht="15" customHeight="1" x14ac:dyDescent="0.25"/>
    <row r="3" ht="15" customHeight="1" spans="2:22" x14ac:dyDescent="0.25">
      <c r="B3" s="264"/>
      <c r="C3" s="353" t="str">
        <f>UPPER('Cash Flow'!D4)&amp;" - TENANT SUMMARY"</f>
        <v>DISTRICT NORTH - TENANT SUMMARY</v>
      </c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6"/>
      <c r="S3" s="262"/>
      <c r="T3" s="262"/>
      <c r="U3" s="262"/>
      <c r="V3" s="262"/>
    </row>
    <row r="4" ht="30" customHeight="1" spans="2:22" x14ac:dyDescent="0.25">
      <c r="B4" s="264"/>
      <c r="C4" s="354" t="s">
        <v>260</v>
      </c>
      <c r="D4" s="274" t="s">
        <v>230</v>
      </c>
      <c r="E4" s="274" t="s">
        <v>231</v>
      </c>
      <c r="F4" s="274" t="s">
        <v>232</v>
      </c>
      <c r="G4" s="274" t="s">
        <v>261</v>
      </c>
      <c r="H4" s="274" t="s">
        <v>262</v>
      </c>
      <c r="I4" s="273" t="s">
        <v>263</v>
      </c>
      <c r="J4" s="271" t="s">
        <v>264</v>
      </c>
      <c r="K4" s="274" t="s">
        <v>265</v>
      </c>
      <c r="L4" s="273" t="s">
        <v>266</v>
      </c>
      <c r="M4" s="274" t="s">
        <v>177</v>
      </c>
      <c r="N4" s="273" t="s">
        <v>150</v>
      </c>
      <c r="Q4" s="274" t="s">
        <v>267</v>
      </c>
      <c r="R4" s="274" t="s">
        <v>268</v>
      </c>
      <c r="U4" s="355"/>
      <c r="V4" s="355"/>
    </row>
    <row r="5" spans="1:25" x14ac:dyDescent="0.25">
      <c r="B5" s="264"/>
      <c r="C5" s="356" t="str">
        <f>IFERROR(_xlfn.XLOOKUP(A5,$B$36:$B$79,$C$36:$C$79),"")</f>
        <v>  Speculative Tenant</v>
      </c>
      <c r="D5" s="357">
        <f t="shared" ref="D5:E24" si="0">IFERROR(INDEX($D$36:$W$79,MATCH($A5,$B$36:$B$79,0),MATCH(D$1,$D$35:$W$35,0)),"")</f>
        <v>1</v>
      </c>
      <c r="E5" s="358"/>
      <c r="F5" s="359">
        <f>IFERROR(E5/'Cash Flow'!$D$8,"")</f>
        <v>1</v>
      </c>
      <c r="G5" s="360">
        <f t="shared" ref="G5:H24" si="1">IFERROR(INDEX($D$36:$W$79,MATCH($A5,$B$36:$B$79,0),MATCH(G$1,$D$35:$W$35,0)),"")</f>
        <v>46447</v>
      </c>
      <c r="H5" s="360"/>
      <c r="I5" s="361">
        <f>IFERROR(DATEDIF('Cash Flow'!$D$5,H5,"m")/12,"")</f>
        <v>7.75</v>
      </c>
      <c r="J5" s="300">
        <f>IFERROR(_xlfn.XLOOKUP(D5,'Argus (Lease Audit)'!$B$4:$B$40,'Argus (Lease Audit)'!$C$4:$C$40)*12,"")</f>
        <v>0</v>
      </c>
      <c r="K5" s="300">
        <f>IFERROR(_xlfn.XLOOKUP(D5,'Argus (Lease Audit)'!F4:F40,'Argus (Lease Audit)'!G4:G40)*12,"")</f>
        <v>0</v>
      </c>
      <c r="L5" s="362">
        <f>IFERROR(J5+K5,"")</f>
        <v>0</v>
      </c>
      <c r="M5" s="363"/>
      <c r="N5" s="364"/>
      <c r="Q5" s="365">
        <f>IFERROR(_xlfn.XLOOKUP('Rent Roll'!D5,'Argus (Lease Audit)'!J4:J40,'Argus (Lease Audit)'!K4:K40)*12,"")</f>
        <v>18.48</v>
      </c>
      <c r="R5" s="359">
        <f>IFERROR((Q5-J5)/J5,"")</f>
      </c>
      <c r="U5" s="366"/>
      <c r="V5" s="367"/>
      <c r="Y5" s="368"/>
    </row>
    <row r="6" hidden="1" spans="1:25" x14ac:dyDescent="0.25" outlineLevel="1" collapsed="1">
      <c r="A6">
        <f>A5+1</f>
        <v>2</v>
      </c>
      <c r="B6" s="264"/>
      <c r="C6" s="356">
        <f t="shared" ref="C6:C24" si="2">IFERROR(_xlfn.XLOOKUP(A6,$B$36:$B$79,$C$36:$C$79),"")</f>
      </c>
      <c r="D6" s="357"/>
      <c r="E6" s="358"/>
      <c r="F6" s="359">
        <f>IFERROR(E6/'Cash Flow'!$D$8,"")</f>
      </c>
      <c r="G6" s="360"/>
      <c r="H6" s="360"/>
      <c r="I6" s="361">
        <f>IFERROR(DATEDIF('Cash Flow'!$D$5,H6,"m")/12,"")</f>
      </c>
      <c r="J6" s="300">
        <f>IFERROR(_xlfn.XLOOKUP(D6,'Argus (Lease Audit)'!$B$4:$B$40,'Argus (Lease Audit)'!$C$4:$C$40)*12,"")</f>
      </c>
      <c r="K6" s="300">
        <f>IFERROR(_xlfn.XLOOKUP(D6,'Argus (Lease Audit)'!F5:F41,'Argus (Lease Audit)'!G5:G41)*12,"")</f>
      </c>
      <c r="L6" s="362">
        <f t="shared" ref="L6:L24" si="3">IFERROR(J6+K6,"")</f>
      </c>
      <c r="M6" s="300"/>
      <c r="N6" s="364"/>
      <c r="Q6" s="365">
        <f>IFERROR(_xlfn.XLOOKUP('Rent Roll'!D6,'Argus (Lease Audit)'!J5:J41,'Argus (Lease Audit)'!K5:K41)*12,"")</f>
      </c>
      <c r="R6" s="359">
        <f t="shared" ref="R6:R24" si="4">IFERROR((Q6-J6)/J6,"")</f>
      </c>
      <c r="U6" s="366"/>
      <c r="V6" s="367"/>
      <c r="Y6" s="369"/>
    </row>
    <row r="7" hidden="1" spans="1:25" x14ac:dyDescent="0.25" outlineLevel="1" collapsed="1">
      <c r="A7">
        <f t="shared" ref="A7:A24" si="5">A6+1</f>
        <v>3</v>
      </c>
      <c r="B7" s="264"/>
      <c r="C7" s="356"/>
      <c r="D7" s="357"/>
      <c r="E7" s="358"/>
      <c r="F7" s="359">
        <f>IFERROR(E7/'Cash Flow'!$D$8,"")</f>
      </c>
      <c r="G7" s="360"/>
      <c r="H7" s="360"/>
      <c r="I7" s="361">
        <f>IFERROR(DATEDIF('Cash Flow'!$D$5,H7,"m")/12,"")</f>
      </c>
      <c r="J7" s="300">
        <f>IFERROR(_xlfn.XLOOKUP(D7,'Argus (Lease Audit)'!$B$4:$B$40,'Argus (Lease Audit)'!$C$4:$C$40)*12,"")</f>
      </c>
      <c r="K7" s="300">
        <f>IFERROR(_xlfn.XLOOKUP(D7,'Argus (Lease Audit)'!F6:F42,'Argus (Lease Audit)'!G6:G42)*12,"")</f>
      </c>
      <c r="L7" s="362"/>
      <c r="M7" s="300"/>
      <c r="N7" s="364"/>
      <c r="Q7" s="365">
        <f>IFERROR(_xlfn.XLOOKUP('Rent Roll'!D7,'Argus (Lease Audit)'!J6:J42,'Argus (Lease Audit)'!K6:K42)*12,"")</f>
      </c>
      <c r="R7" s="359"/>
      <c r="U7" s="366"/>
      <c r="V7" s="367"/>
      <c r="Y7" s="369"/>
    </row>
    <row r="8" hidden="1" spans="1:25" x14ac:dyDescent="0.25" outlineLevel="1" collapsed="1">
      <c r="B8" s="264"/>
      <c r="C8" s="356"/>
      <c r="D8" s="357"/>
      <c r="E8" s="358"/>
      <c r="F8" s="359">
        <f>IFERROR(E8/'Cash Flow'!$D$8,"")</f>
      </c>
      <c r="G8" s="360"/>
      <c r="H8" s="360"/>
      <c r="I8" s="361">
        <f>IFERROR(DATEDIF('Cash Flow'!$D$5,H8,"m")/12,"")</f>
      </c>
      <c r="J8" s="300">
        <f>IFERROR(_xlfn.XLOOKUP(D8,'Argus (Lease Audit)'!$B$4:$B$40,'Argus (Lease Audit)'!$C$4:$C$40)*12,"")</f>
      </c>
      <c r="K8" s="300">
        <f>IFERROR(_xlfn.XLOOKUP(D8,'Argus (Lease Audit)'!F7:F43,'Argus (Lease Audit)'!G7:G43)*12,"")</f>
      </c>
      <c r="L8" s="362"/>
      <c r="M8" s="300"/>
      <c r="N8" s="364"/>
      <c r="Q8" s="365">
        <f>IFERROR(_xlfn.XLOOKUP('Rent Roll'!D8,'Argus (Lease Audit)'!J7:J43,'Argus (Lease Audit)'!K7:K43)*12,"")</f>
      </c>
      <c r="R8" s="359"/>
      <c r="U8" s="366"/>
      <c r="V8" s="367"/>
      <c r="Y8" s="369"/>
    </row>
    <row r="9" hidden="1" spans="1:25" x14ac:dyDescent="0.25" outlineLevel="1" collapsed="1">
      <c r="B9" s="264"/>
      <c r="C9" s="356"/>
      <c r="D9" s="357"/>
      <c r="E9" s="358"/>
      <c r="F9" s="359">
        <f>IFERROR(E9/'Cash Flow'!$D$8,"")</f>
      </c>
      <c r="G9" s="360"/>
      <c r="H9" s="360"/>
      <c r="I9" s="361">
        <f>IFERROR(DATEDIF('Cash Flow'!$D$5,H9,"m")/12,"")</f>
      </c>
      <c r="J9" s="300">
        <f>IFERROR(_xlfn.XLOOKUP(D9,'Argus (Lease Audit)'!$B$4:$B$40,'Argus (Lease Audit)'!$C$4:$C$40)*12,"")</f>
      </c>
      <c r="K9" s="300">
        <f>IFERROR(_xlfn.XLOOKUP(D9,'Argus (Lease Audit)'!F8:F44,'Argus (Lease Audit)'!G8:G44)*12,"")</f>
      </c>
      <c r="L9" s="362"/>
      <c r="M9" s="300"/>
      <c r="N9" s="364"/>
      <c r="Q9" s="365">
        <f>IFERROR(_xlfn.XLOOKUP('Rent Roll'!D9,'Argus (Lease Audit)'!J8:J44,'Argus (Lease Audit)'!K8:K44)*12,"")</f>
      </c>
      <c r="R9" s="359"/>
      <c r="U9" s="366"/>
      <c r="V9" s="367"/>
      <c r="Y9" s="369"/>
    </row>
    <row r="10" hidden="1" spans="1:25" x14ac:dyDescent="0.25" outlineLevel="1" collapsed="1">
      <c r="B10" s="264"/>
      <c r="C10" s="356"/>
      <c r="D10" s="357"/>
      <c r="E10" s="358"/>
      <c r="F10" s="359">
        <f>IFERROR(E10/'Cash Flow'!$D$8,"")</f>
      </c>
      <c r="G10" s="360"/>
      <c r="H10" s="360"/>
      <c r="I10" s="361">
        <f>IFERROR(DATEDIF('Cash Flow'!$D$5,H10,"m")/12,"")</f>
      </c>
      <c r="J10" s="300">
        <f>IFERROR(_xlfn.XLOOKUP(D10,'Argus (Lease Audit)'!$B$4:$B$40,'Argus (Lease Audit)'!$C$4:$C$40)*12,"")</f>
      </c>
      <c r="K10" s="300">
        <f>IFERROR(_xlfn.XLOOKUP(D10,'Argus (Lease Audit)'!F9:F45,'Argus (Lease Audit)'!G9:G45)*12,"")</f>
      </c>
      <c r="L10" s="362"/>
      <c r="M10" s="300"/>
      <c r="N10" s="364"/>
      <c r="Q10" s="365">
        <f>IFERROR(_xlfn.XLOOKUP('Rent Roll'!D10,'Argus (Lease Audit)'!J9:J45,'Argus (Lease Audit)'!K9:K45)*12,"")</f>
      </c>
      <c r="R10" s="359"/>
      <c r="U10" s="366"/>
      <c r="V10" s="367"/>
      <c r="Y10" s="369"/>
    </row>
    <row r="11" hidden="1" spans="1:25" x14ac:dyDescent="0.25" outlineLevel="1" collapsed="1">
      <c r="B11" s="264"/>
      <c r="C11" s="356"/>
      <c r="D11" s="357"/>
      <c r="E11" s="358"/>
      <c r="F11" s="359">
        <f>IFERROR(E11/'Cash Flow'!$D$8,"")</f>
      </c>
      <c r="G11" s="360"/>
      <c r="H11" s="360"/>
      <c r="I11" s="361">
        <f>IFERROR(DATEDIF('Cash Flow'!$D$5,H11,"m")/12,"")</f>
      </c>
      <c r="J11" s="300">
        <f>IFERROR(_xlfn.XLOOKUP(D11,'Argus (Lease Audit)'!$B$4:$B$40,'Argus (Lease Audit)'!$C$4:$C$40)*12,"")</f>
      </c>
      <c r="K11" s="300">
        <f>IFERROR(_xlfn.XLOOKUP(D11,'Argus (Lease Audit)'!F10:F46,'Argus (Lease Audit)'!G10:G46)*12,"")</f>
      </c>
      <c r="L11" s="362"/>
      <c r="M11" s="300"/>
      <c r="N11" s="364"/>
      <c r="Q11" s="365">
        <f>IFERROR(_xlfn.XLOOKUP('Rent Roll'!D11,'Argus (Lease Audit)'!J10:J46,'Argus (Lease Audit)'!K10:K46)*12,"")</f>
      </c>
      <c r="R11" s="359"/>
      <c r="U11" s="366"/>
      <c r="V11" s="367"/>
      <c r="Y11" s="369"/>
    </row>
    <row r="12" hidden="1" spans="1:25" x14ac:dyDescent="0.25" outlineLevel="1" collapsed="1">
      <c r="B12" s="264"/>
      <c r="C12" s="356"/>
      <c r="D12" s="357"/>
      <c r="E12" s="358"/>
      <c r="F12" s="359">
        <f>IFERROR(E12/'Cash Flow'!$D$8,"")</f>
      </c>
      <c r="G12" s="360"/>
      <c r="H12" s="360"/>
      <c r="I12" s="361">
        <f>IFERROR(DATEDIF('Cash Flow'!$D$5,H12,"m")/12,"")</f>
      </c>
      <c r="J12" s="300">
        <f>IFERROR(_xlfn.XLOOKUP(D12,'Argus (Lease Audit)'!$B$4:$B$40,'Argus (Lease Audit)'!$C$4:$C$40)*12,"")</f>
      </c>
      <c r="K12" s="300">
        <f>IFERROR(_xlfn.XLOOKUP(D12,'Argus (Lease Audit)'!F11:F47,'Argus (Lease Audit)'!G11:G47)*12,"")</f>
      </c>
      <c r="L12" s="362"/>
      <c r="M12" s="300"/>
      <c r="N12" s="364"/>
      <c r="Q12" s="365">
        <f>IFERROR(_xlfn.XLOOKUP('Rent Roll'!D12,'Argus (Lease Audit)'!J11:J47,'Argus (Lease Audit)'!K11:K47)*12,"")</f>
      </c>
      <c r="R12" s="359"/>
      <c r="U12" s="366"/>
      <c r="V12" s="367"/>
      <c r="Y12" s="369"/>
    </row>
    <row r="13" hidden="1" spans="1:25" x14ac:dyDescent="0.25" outlineLevel="1" collapsed="1">
      <c r="B13" s="264"/>
      <c r="C13" s="356"/>
      <c r="D13" s="357"/>
      <c r="E13" s="358"/>
      <c r="F13" s="359">
        <f>IFERROR(E13/'Cash Flow'!$D$8,"")</f>
      </c>
      <c r="G13" s="360"/>
      <c r="H13" s="360"/>
      <c r="I13" s="361">
        <f>IFERROR(DATEDIF('Cash Flow'!$D$5,H13,"m")/12,"")</f>
      </c>
      <c r="J13" s="300">
        <f>IFERROR(_xlfn.XLOOKUP(D13,'Argus (Lease Audit)'!$B$4:$B$40,'Argus (Lease Audit)'!$C$4:$C$40)*12,"")</f>
      </c>
      <c r="K13" s="300">
        <f>IFERROR(_xlfn.XLOOKUP(D13,'Argus (Lease Audit)'!F12:F48,'Argus (Lease Audit)'!G12:G48)*12,"")</f>
      </c>
      <c r="L13" s="362"/>
      <c r="M13" s="300"/>
      <c r="N13" s="364"/>
      <c r="Q13" s="365">
        <f>IFERROR(_xlfn.XLOOKUP('Rent Roll'!D13,'Argus (Lease Audit)'!J12:J48,'Argus (Lease Audit)'!K12:K48)*12,"")</f>
      </c>
      <c r="R13" s="359"/>
      <c r="U13" s="366"/>
      <c r="V13" s="367"/>
      <c r="Y13" s="369"/>
    </row>
    <row r="14" hidden="1" spans="1:25" x14ac:dyDescent="0.25" outlineLevel="1" collapsed="1">
      <c r="B14" s="264"/>
      <c r="C14" s="370"/>
      <c r="D14" s="371"/>
      <c r="E14" s="358"/>
      <c r="F14" s="359">
        <f>IFERROR(E14/'Cash Flow'!$D$8,"")</f>
      </c>
      <c r="G14" s="360"/>
      <c r="H14" s="360"/>
      <c r="I14" s="361">
        <f>IFERROR(DATEDIF('Cash Flow'!$D$5,H14,"m")/12,"")</f>
      </c>
      <c r="J14" s="300">
        <f>IFERROR(_xlfn.XLOOKUP(D14,'Argus (Lease Audit)'!$B$4:$B$40,'Argus (Lease Audit)'!$C$4:$C$40)*12,"")</f>
      </c>
      <c r="K14" s="300">
        <f>IFERROR(_xlfn.XLOOKUP(D14,'Argus (Lease Audit)'!F13:F49,'Argus (Lease Audit)'!G13:G49)*12,"")</f>
      </c>
      <c r="L14" s="362"/>
      <c r="M14" s="262"/>
      <c r="N14" s="372"/>
      <c r="Q14" s="365">
        <f>IFERROR(_xlfn.XLOOKUP('Rent Roll'!D14,'Argus (Lease Audit)'!J13:J49,'Argus (Lease Audit)'!K13:K49)*12,"")</f>
      </c>
      <c r="R14" s="359"/>
      <c r="Y14" s="369"/>
    </row>
    <row r="15" hidden="1" spans="1:25" x14ac:dyDescent="0.25" outlineLevel="1" collapsed="1">
      <c r="B15" s="264"/>
      <c r="C15" s="370"/>
      <c r="D15" s="371"/>
      <c r="E15" s="358"/>
      <c r="F15" s="359">
        <f>IFERROR(E15/'Cash Flow'!$D$8,"")</f>
      </c>
      <c r="G15" s="360"/>
      <c r="H15" s="360"/>
      <c r="I15" s="361">
        <f>IFERROR(DATEDIF('Cash Flow'!$D$5,H15,"m")/12,"")</f>
      </c>
      <c r="J15" s="300">
        <f>IFERROR(_xlfn.XLOOKUP(D15,'Argus (Lease Audit)'!$B$4:$B$40,'Argus (Lease Audit)'!$C$4:$C$40)*12,"")</f>
      </c>
      <c r="K15" s="300">
        <f>IFERROR(_xlfn.XLOOKUP(D15,'Argus (Lease Audit)'!F14:F50,'Argus (Lease Audit)'!G14:G50)*12,"")</f>
      </c>
      <c r="L15" s="362"/>
      <c r="M15" s="262"/>
      <c r="N15" s="372"/>
      <c r="Q15" s="365">
        <f>IFERROR(_xlfn.XLOOKUP('Rent Roll'!D15,'Argus (Lease Audit)'!J14:J50,'Argus (Lease Audit)'!K14:K50)*12,"")</f>
      </c>
      <c r="R15" s="359"/>
      <c r="Y15" s="369"/>
    </row>
    <row r="16" hidden="1" spans="1:25" x14ac:dyDescent="0.25" outlineLevel="1" collapsed="1">
      <c r="B16" s="264"/>
      <c r="C16" s="370"/>
      <c r="D16" s="371"/>
      <c r="E16" s="358"/>
      <c r="F16" s="359">
        <f>IFERROR(E16/'Cash Flow'!$D$8,"")</f>
      </c>
      <c r="G16" s="360"/>
      <c r="H16" s="360"/>
      <c r="I16" s="361">
        <f>IFERROR(DATEDIF('Cash Flow'!$D$5,H16,"m")/12,"")</f>
      </c>
      <c r="J16" s="300">
        <f>IFERROR(_xlfn.XLOOKUP(D16,'Argus (Lease Audit)'!$B$4:$B$40,'Argus (Lease Audit)'!$C$4:$C$40)*12,"")</f>
      </c>
      <c r="K16" s="300">
        <f>IFERROR(_xlfn.XLOOKUP(D16,'Argus (Lease Audit)'!F15:F51,'Argus (Lease Audit)'!G15:G51)*12,"")</f>
      </c>
      <c r="L16" s="362"/>
      <c r="M16" s="262"/>
      <c r="N16" s="372"/>
      <c r="Q16" s="365">
        <f>IFERROR(_xlfn.XLOOKUP('Rent Roll'!D16,'Argus (Lease Audit)'!J15:J51,'Argus (Lease Audit)'!K15:K51)*12,"")</f>
      </c>
      <c r="R16" s="359"/>
      <c r="Y16" s="369"/>
    </row>
    <row r="17" hidden="1" spans="1:25" x14ac:dyDescent="0.25" outlineLevel="1" collapsed="1">
      <c r="B17" s="264"/>
      <c r="C17" s="370"/>
      <c r="D17" s="371"/>
      <c r="E17" s="358"/>
      <c r="F17" s="359">
        <f>IFERROR(E17/'Cash Flow'!$D$8,"")</f>
      </c>
      <c r="G17" s="360"/>
      <c r="H17" s="360"/>
      <c r="I17" s="361">
        <f>IFERROR(DATEDIF('Cash Flow'!$D$5,H17,"m")/12,"")</f>
      </c>
      <c r="J17" s="300">
        <f>IFERROR(_xlfn.XLOOKUP(D17,'Argus (Lease Audit)'!$B$4:$B$40,'Argus (Lease Audit)'!$C$4:$C$40)*12,"")</f>
      </c>
      <c r="K17" s="300">
        <f>IFERROR(_xlfn.XLOOKUP(D17,'Argus (Lease Audit)'!F16:F52,'Argus (Lease Audit)'!G16:G52)*12,"")</f>
      </c>
      <c r="L17" s="362"/>
      <c r="M17" s="262"/>
      <c r="N17" s="372"/>
      <c r="Q17" s="365">
        <f>IFERROR(_xlfn.XLOOKUP('Rent Roll'!D17,'Argus (Lease Audit)'!J16:J52,'Argus (Lease Audit)'!K16:K52)*12,"")</f>
      </c>
      <c r="R17" s="359"/>
      <c r="Y17" s="369"/>
    </row>
    <row r="18" hidden="1" spans="1:25" x14ac:dyDescent="0.25" outlineLevel="1" collapsed="1">
      <c r="B18" s="264"/>
      <c r="C18" s="370"/>
      <c r="D18" s="371"/>
      <c r="E18" s="358"/>
      <c r="F18" s="359">
        <f>IFERROR(E18/'Cash Flow'!$D$8,"")</f>
      </c>
      <c r="G18" s="360"/>
      <c r="H18" s="360"/>
      <c r="I18" s="361">
        <f>IFERROR(DATEDIF('Cash Flow'!$D$5,H18,"m")/12,"")</f>
      </c>
      <c r="J18" s="300">
        <f>IFERROR(_xlfn.XLOOKUP(D18,'Argus (Lease Audit)'!$B$4:$B$40,'Argus (Lease Audit)'!$C$4:$C$40)*12,"")</f>
      </c>
      <c r="K18" s="300">
        <f>IFERROR(_xlfn.XLOOKUP(D18,'Argus (Lease Audit)'!F17:F53,'Argus (Lease Audit)'!G17:G53)*12,"")</f>
      </c>
      <c r="L18" s="362"/>
      <c r="M18" s="262"/>
      <c r="N18" s="372"/>
      <c r="Q18" s="365">
        <f>IFERROR(_xlfn.XLOOKUP('Rent Roll'!D18,'Argus (Lease Audit)'!J17:J53,'Argus (Lease Audit)'!K17:K53)*12,"")</f>
      </c>
      <c r="R18" s="359"/>
      <c r="Y18" s="369"/>
    </row>
    <row r="19" hidden="1" spans="1:25" x14ac:dyDescent="0.25" outlineLevel="1" collapsed="1">
      <c r="B19" s="264"/>
      <c r="C19" s="370"/>
      <c r="D19" s="371"/>
      <c r="E19" s="358"/>
      <c r="F19" s="359">
        <f>IFERROR(E19/'Cash Flow'!$D$8,"")</f>
      </c>
      <c r="G19" s="360"/>
      <c r="H19" s="360"/>
      <c r="I19" s="361">
        <f>IFERROR(DATEDIF('Cash Flow'!$D$5,H19,"m")/12,"")</f>
      </c>
      <c r="J19" s="300">
        <f>IFERROR(_xlfn.XLOOKUP(D19,'Argus (Lease Audit)'!$B$4:$B$40,'Argus (Lease Audit)'!$C$4:$C$40)*12,"")</f>
      </c>
      <c r="K19" s="300">
        <f>IFERROR(_xlfn.XLOOKUP(D19,'Argus (Lease Audit)'!F18:F54,'Argus (Lease Audit)'!G18:G54)*12,"")</f>
      </c>
      <c r="L19" s="362"/>
      <c r="M19" s="262"/>
      <c r="N19" s="372"/>
      <c r="Q19" s="365">
        <f>IFERROR(_xlfn.XLOOKUP('Rent Roll'!D19,'Argus (Lease Audit)'!J18:J54,'Argus (Lease Audit)'!K18:K54)*12,"")</f>
      </c>
      <c r="R19" s="359"/>
      <c r="Y19" s="369"/>
    </row>
    <row r="20" hidden="1" spans="1:25" x14ac:dyDescent="0.25" outlineLevel="1" collapsed="1">
      <c r="B20" s="264"/>
      <c r="C20" s="370"/>
      <c r="D20" s="371"/>
      <c r="E20" s="358"/>
      <c r="F20" s="359">
        <f>IFERROR(E20/'Cash Flow'!$D$8,"")</f>
      </c>
      <c r="G20" s="360"/>
      <c r="H20" s="360"/>
      <c r="I20" s="361">
        <f>IFERROR(DATEDIF('Cash Flow'!$D$5,H20,"m")/12,"")</f>
      </c>
      <c r="J20" s="300">
        <f>IFERROR(_xlfn.XLOOKUP(D20,'Argus (Lease Audit)'!$B$4:$B$40,'Argus (Lease Audit)'!$C$4:$C$40)*12,"")</f>
      </c>
      <c r="K20" s="300">
        <f>IFERROR(_xlfn.XLOOKUP(D20,'Argus (Lease Audit)'!F19:F55,'Argus (Lease Audit)'!G19:G55)*12,"")</f>
      </c>
      <c r="L20" s="362"/>
      <c r="M20" s="262"/>
      <c r="N20" s="372"/>
      <c r="Q20" s="365">
        <f>IFERROR(_xlfn.XLOOKUP('Rent Roll'!D20,'Argus (Lease Audit)'!J19:J55,'Argus (Lease Audit)'!K19:K55)*12,"")</f>
      </c>
      <c r="R20" s="359"/>
      <c r="Y20" s="369"/>
    </row>
    <row r="21" hidden="1" spans="1:25" x14ac:dyDescent="0.25" outlineLevel="1" collapsed="1">
      <c r="B21" s="264"/>
      <c r="C21" s="370"/>
      <c r="D21" s="371"/>
      <c r="E21" s="358"/>
      <c r="F21" s="359">
        <f>IFERROR(E21/'Cash Flow'!$D$8,"")</f>
      </c>
      <c r="G21" s="360"/>
      <c r="H21" s="360"/>
      <c r="I21" s="361">
        <f>IFERROR(DATEDIF('Cash Flow'!$D$5,H21,"m")/12,"")</f>
      </c>
      <c r="J21" s="300">
        <f>IFERROR(_xlfn.XLOOKUP(D21,'Argus (Lease Audit)'!$B$4:$B$40,'Argus (Lease Audit)'!$C$4:$C$40)*12,"")</f>
      </c>
      <c r="K21" s="300">
        <f>IFERROR(_xlfn.XLOOKUP(D21,'Argus (Lease Audit)'!F20:F56,'Argus (Lease Audit)'!G20:G56)*12,"")</f>
      </c>
      <c r="L21" s="362"/>
      <c r="M21" s="262"/>
      <c r="N21" s="372"/>
      <c r="Q21" s="365">
        <f>IFERROR(_xlfn.XLOOKUP('Rent Roll'!D21,'Argus (Lease Audit)'!J20:J56,'Argus (Lease Audit)'!K20:K56)*12,"")</f>
      </c>
      <c r="R21" s="359"/>
    </row>
    <row r="22" hidden="1" spans="1:25" x14ac:dyDescent="0.25" outlineLevel="1" collapsed="1">
      <c r="B22" s="264"/>
      <c r="C22" s="370"/>
      <c r="D22" s="371"/>
      <c r="E22" s="358"/>
      <c r="F22" s="359">
        <f>IFERROR(E22/'Cash Flow'!$D$8,"")</f>
      </c>
      <c r="G22" s="360"/>
      <c r="H22" s="360"/>
      <c r="I22" s="361">
        <f>IFERROR(DATEDIF('Cash Flow'!$D$5,H22,"m")/12,"")</f>
      </c>
      <c r="J22" s="300">
        <f>IFERROR(_xlfn.XLOOKUP(D22,'Argus (Lease Audit)'!$B$4:$B$40,'Argus (Lease Audit)'!$C$4:$C$40)*12,"")</f>
      </c>
      <c r="K22" s="300">
        <f>IFERROR(_xlfn.XLOOKUP(D22,'Argus (Lease Audit)'!F21:F57,'Argus (Lease Audit)'!G21:G57)*12,"")</f>
      </c>
      <c r="L22" s="362"/>
      <c r="M22" s="262"/>
      <c r="N22" s="372"/>
      <c r="Q22" s="365">
        <f>IFERROR(_xlfn.XLOOKUP('Rent Roll'!D22,'Argus (Lease Audit)'!J21:J57,'Argus (Lease Audit)'!K21:K57)*12,"")</f>
      </c>
      <c r="R22" s="359"/>
    </row>
    <row r="23" hidden="1" spans="1:25" x14ac:dyDescent="0.25" outlineLevel="1" collapsed="1">
      <c r="B23" s="264"/>
      <c r="C23" s="370"/>
      <c r="D23" s="371"/>
      <c r="E23" s="358"/>
      <c r="F23" s="359">
        <f>IFERROR(E23/'Cash Flow'!$D$8,"")</f>
      </c>
      <c r="G23" s="360"/>
      <c r="H23" s="360"/>
      <c r="I23" s="361">
        <f>IFERROR(DATEDIF('Cash Flow'!$D$5,H23,"m")/12,"")</f>
      </c>
      <c r="J23" s="300">
        <f>IFERROR(_xlfn.XLOOKUP(D23,'Argus (Lease Audit)'!$B$4:$B$40,'Argus (Lease Audit)'!$C$4:$C$40)*12,"")</f>
      </c>
      <c r="K23" s="300">
        <f>IFERROR(_xlfn.XLOOKUP(D23,'Argus (Lease Audit)'!F22:F58,'Argus (Lease Audit)'!G22:G58)*12,"")</f>
      </c>
      <c r="L23" s="362"/>
      <c r="M23" s="262"/>
      <c r="N23" s="372"/>
      <c r="Q23" s="365">
        <f>IFERROR(_xlfn.XLOOKUP('Rent Roll'!D23,'Argus (Lease Audit)'!J22:J58,'Argus (Lease Audit)'!K22:K58)*12,"")</f>
      </c>
      <c r="R23" s="359"/>
    </row>
    <row r="24" spans="1:25" x14ac:dyDescent="0.25">
      <c r="B24" s="264"/>
      <c r="C24" s="370"/>
      <c r="D24" s="371"/>
      <c r="E24" s="358"/>
      <c r="F24" s="359">
        <f>IFERROR(E24/'Cash Flow'!$D$8,"")</f>
      </c>
      <c r="G24" s="360"/>
      <c r="H24" s="360"/>
      <c r="I24" s="361">
        <f>IFERROR(DATEDIF('Cash Flow'!$D$5,H24,"m")/12,"")</f>
      </c>
      <c r="J24" s="300">
        <f>IFERROR(_xlfn.XLOOKUP(D24,'Argus (Lease Audit)'!$B$4:$B$40,'Argus (Lease Audit)'!$C$4:$C$40)*12,"")</f>
      </c>
      <c r="K24" s="300">
        <f>IFERROR(_xlfn.XLOOKUP(D24,'Argus (Lease Audit)'!F23:F59,'Argus (Lease Audit)'!G23:G59)*12,"")</f>
      </c>
      <c r="L24" s="362"/>
      <c r="M24" s="262"/>
      <c r="N24" s="372"/>
      <c r="Q24" s="365">
        <f>IFERROR(_xlfn.XLOOKUP('Rent Roll'!D24,'Argus (Lease Audit)'!J23:J59,'Argus (Lease Audit)'!K23:K59)*12,"")</f>
      </c>
      <c r="R24" s="359"/>
    </row>
    <row r="25" spans="2:18" x14ac:dyDescent="0.25">
      <c r="B25" s="264"/>
      <c r="C25" s="373" t="s">
        <v>269</v>
      </c>
      <c r="D25" s="374" t="s">
        <v>240</v>
      </c>
      <c r="E25" s="375">
        <f>SUM(E5:E24)</f>
        <v>63523</v>
      </c>
      <c r="F25" s="376">
        <f>IFERROR(E25/'Cash Flow'!$D$8,"")</f>
        <v>1</v>
      </c>
      <c r="G25" s="374" t="s">
        <v>240</v>
      </c>
      <c r="H25" s="374" t="s">
        <v>240</v>
      </c>
      <c r="I25" s="377">
        <f>SUMPRODUCT($E$5:$E$24,I5:I24)/$E$25</f>
        <v>7.75</v>
      </c>
      <c r="J25" s="378">
        <f t="shared" ref="J25:L25" si="6">SUMPRODUCT($E$5:$E$24,J5:J24)/$E$25</f>
        <v>0</v>
      </c>
      <c r="K25" s="378">
        <f t="shared" si="6"/>
        <v>0</v>
      </c>
      <c r="L25" s="379">
        <f t="shared" si="6"/>
        <v>0</v>
      </c>
      <c r="M25" s="374" t="s">
        <v>240</v>
      </c>
      <c r="N25" s="380" t="s">
        <v>240</v>
      </c>
      <c r="Q25" s="378">
        <f t="shared" ref="Q25:R25" si="7">SUMPRODUCT($E$5:$E$24,Q5:Q24)/$E$25</f>
        <v>18.48</v>
      </c>
      <c r="R25" s="376">
        <f t="shared" si="7"/>
        <v>0</v>
      </c>
    </row>
    <row r="28" spans="3:3" x14ac:dyDescent="0.25">
      <c r="C28" s="317" t="s">
        <v>270</v>
      </c>
    </row>
    <row r="29" spans="3:23" x14ac:dyDescent="0.25">
      <c r="C29" s="318"/>
      <c r="D29" s="318"/>
      <c r="E29" s="318"/>
      <c r="F29" s="318"/>
      <c r="G29" s="318"/>
      <c r="H29" s="318"/>
      <c r="I29" s="318"/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</row>
    <row r="30" spans="3:23" x14ac:dyDescent="0.25">
      <c r="C30" s="319"/>
      <c r="D30" s="319"/>
      <c r="E30" s="319"/>
      <c r="F30" s="319"/>
      <c r="G30" s="319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  <c r="T30" s="319"/>
      <c r="U30" s="319"/>
      <c r="V30" s="319"/>
      <c r="W30" s="319"/>
    </row>
    <row r="31" spans="3:23" x14ac:dyDescent="0.25">
      <c r="C31" s="319" t="s">
        <v>271</v>
      </c>
      <c r="D31" s="319"/>
      <c r="E31" s="319"/>
      <c r="F31" s="319"/>
      <c r="G31" s="319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  <c r="T31" s="319"/>
      <c r="U31" s="319"/>
      <c r="V31" s="319"/>
      <c r="W31" s="319"/>
    </row>
    <row r="32" spans="3:23" x14ac:dyDescent="0.25">
      <c r="C32" s="320">
        <v>46188.587</v>
      </c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  <c r="T32" s="319"/>
      <c r="U32" s="319"/>
      <c r="V32" s="319"/>
      <c r="W32" s="319"/>
    </row>
    <row r="33" spans="3:23" x14ac:dyDescent="0.25"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  <c r="T33" s="319"/>
      <c r="U33" s="319"/>
      <c r="V33" s="319"/>
      <c r="W33" s="319"/>
    </row>
    <row r="34" spans="3:23" x14ac:dyDescent="0.25">
      <c r="C34" s="319"/>
      <c r="D34" s="319"/>
      <c r="E34" s="319"/>
      <c r="F34" s="319"/>
      <c r="G34" s="319"/>
      <c r="H34" s="319"/>
      <c r="I34" s="319" t="s">
        <v>243</v>
      </c>
      <c r="J34" s="319" t="s">
        <v>243</v>
      </c>
      <c r="K34" s="319" t="s">
        <v>272</v>
      </c>
      <c r="L34" s="319" t="s">
        <v>273</v>
      </c>
      <c r="M34" s="319" t="s">
        <v>274</v>
      </c>
      <c r="N34" s="319" t="s">
        <v>275</v>
      </c>
      <c r="O34" s="319" t="s">
        <v>276</v>
      </c>
      <c r="P34" s="319" t="s">
        <v>277</v>
      </c>
      <c r="Q34" s="319" t="s">
        <v>278</v>
      </c>
      <c r="R34" s="319" t="s">
        <v>279</v>
      </c>
      <c r="S34" s="319" t="s">
        <v>272</v>
      </c>
      <c r="T34" s="319" t="s">
        <v>246</v>
      </c>
      <c r="U34" s="319" t="s">
        <v>247</v>
      </c>
      <c r="V34" s="319" t="s">
        <v>246</v>
      </c>
      <c r="W34" s="319" t="s">
        <v>280</v>
      </c>
    </row>
    <row r="35" spans="3:23" x14ac:dyDescent="0.25">
      <c r="C35" s="319" t="s">
        <v>260</v>
      </c>
      <c r="D35" s="319" t="s">
        <v>230</v>
      </c>
      <c r="E35" s="319" t="s">
        <v>281</v>
      </c>
      <c r="F35" s="319" t="s">
        <v>282</v>
      </c>
      <c r="G35" s="319" t="s">
        <v>283</v>
      </c>
      <c r="H35" s="319" t="s">
        <v>226</v>
      </c>
      <c r="I35" s="319" t="s">
        <v>258</v>
      </c>
      <c r="J35" s="319" t="s">
        <v>259</v>
      </c>
      <c r="K35" s="319" t="s">
        <v>251</v>
      </c>
      <c r="L35" s="319" t="s">
        <v>284</v>
      </c>
      <c r="M35" s="319" t="s">
        <v>285</v>
      </c>
      <c r="N35" s="319" t="s">
        <v>251</v>
      </c>
      <c r="O35" s="319" t="s">
        <v>285</v>
      </c>
      <c r="P35" s="319" t="s">
        <v>286</v>
      </c>
      <c r="Q35" s="319" t="s">
        <v>285</v>
      </c>
      <c r="R35" s="319" t="s">
        <v>287</v>
      </c>
      <c r="S35" s="319" t="s">
        <v>288</v>
      </c>
      <c r="T35" s="319" t="s">
        <v>253</v>
      </c>
      <c r="U35" s="319" t="s">
        <v>254</v>
      </c>
      <c r="V35" s="319" t="s">
        <v>214</v>
      </c>
      <c r="W35" s="319" t="s">
        <v>289</v>
      </c>
    </row>
    <row r="36" spans="1:25" x14ac:dyDescent="0.25">
      <c r="B36" s="319"/>
      <c r="C36" s="319"/>
      <c r="D36" s="319"/>
      <c r="E36" s="319"/>
      <c r="F36" s="319"/>
      <c r="G36" s="319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  <c r="T36" s="319"/>
      <c r="U36" s="319"/>
      <c r="V36" s="319"/>
      <c r="W36" s="319"/>
    </row>
    <row r="37" spans="1:25" x14ac:dyDescent="0.25">
      <c r="B37">
        <f t="shared" ref="B37:B79" si="8">B36+IF(F37="Contract",1,0)</f>
        <v>1</v>
      </c>
      <c r="C37" s="319"/>
      <c r="D37" s="319"/>
      <c r="E37" s="319"/>
      <c r="F37" s="319"/>
      <c r="G37" s="319"/>
      <c r="H37" s="319"/>
      <c r="I37" s="352"/>
      <c r="J37" s="352"/>
      <c r="K37" s="319"/>
      <c r="L37" s="319"/>
      <c r="M37" s="319"/>
      <c r="N37" s="319"/>
      <c r="O37" s="319"/>
      <c r="P37" s="319"/>
      <c r="Q37" s="319"/>
      <c r="R37" s="319"/>
      <c r="S37" s="319"/>
      <c r="T37" s="319"/>
      <c r="U37" s="319"/>
      <c r="V37" s="319"/>
      <c r="W37" s="319"/>
    </row>
    <row r="38" spans="1:25" x14ac:dyDescent="0.25">
      <c r="C38" s="319"/>
      <c r="D38" s="319"/>
      <c r="E38" s="319"/>
      <c r="F38" s="319"/>
      <c r="G38" s="319"/>
      <c r="H38" s="319"/>
      <c r="I38" s="352"/>
      <c r="J38" s="352"/>
      <c r="K38" s="319"/>
      <c r="L38" s="319"/>
      <c r="M38" s="319"/>
      <c r="N38" s="319"/>
      <c r="O38" s="319"/>
      <c r="P38" s="319"/>
      <c r="Q38" s="319"/>
      <c r="R38" s="319"/>
      <c r="S38" s="319"/>
      <c r="T38" s="319"/>
      <c r="U38" s="319"/>
      <c r="V38" s="319"/>
      <c r="W38" s="319"/>
    </row>
    <row r="39" spans="1:25" x14ac:dyDescent="0.25">
      <c r="C39" s="319"/>
      <c r="D39" s="319"/>
      <c r="E39" s="319"/>
      <c r="F39" s="319"/>
      <c r="G39" s="319"/>
      <c r="H39" s="319"/>
      <c r="I39" s="352"/>
      <c r="J39" s="352"/>
      <c r="K39" s="319"/>
      <c r="L39" s="319"/>
      <c r="M39" s="319"/>
      <c r="N39" s="319"/>
      <c r="O39" s="319"/>
      <c r="P39" s="319"/>
      <c r="Q39" s="319"/>
      <c r="R39" s="319"/>
      <c r="S39" s="319"/>
      <c r="T39" s="319"/>
      <c r="U39" s="319"/>
      <c r="V39" s="319"/>
      <c r="W39" s="319"/>
    </row>
    <row r="40" spans="1:25" x14ac:dyDescent="0.25">
      <c r="C40" s="319"/>
      <c r="D40" s="319"/>
      <c r="E40" s="319"/>
      <c r="F40" s="319"/>
      <c r="G40" s="319"/>
      <c r="H40" s="319"/>
      <c r="I40" s="352"/>
      <c r="J40" s="352"/>
      <c r="K40" s="319"/>
      <c r="L40" s="319"/>
      <c r="M40" s="319"/>
      <c r="N40" s="319"/>
      <c r="O40" s="319"/>
      <c r="P40" s="319"/>
      <c r="Q40" s="319"/>
      <c r="R40" s="319"/>
      <c r="S40" s="319"/>
      <c r="T40" s="319"/>
      <c r="U40" s="319"/>
      <c r="V40" s="319"/>
      <c r="W40" s="319"/>
    </row>
    <row r="41" spans="1:25" x14ac:dyDescent="0.25">
      <c r="C41" s="319"/>
      <c r="D41" s="319"/>
      <c r="E41" s="319"/>
      <c r="F41" s="319"/>
      <c r="G41" s="319"/>
      <c r="H41" s="319"/>
      <c r="I41" s="352"/>
      <c r="J41" s="352"/>
      <c r="K41" s="319"/>
      <c r="L41" s="319"/>
      <c r="M41" s="319"/>
      <c r="N41" s="319"/>
      <c r="O41" s="319"/>
      <c r="P41" s="319"/>
      <c r="Q41" s="319"/>
      <c r="R41" s="319"/>
      <c r="S41" s="319"/>
      <c r="T41" s="319"/>
      <c r="U41" s="319"/>
      <c r="V41" s="319"/>
      <c r="W41" s="319"/>
    </row>
    <row r="42" spans="1:25" x14ac:dyDescent="0.25">
      <c r="C42" s="319"/>
      <c r="D42" s="319"/>
      <c r="E42" s="319"/>
      <c r="F42" s="319"/>
      <c r="G42" s="319"/>
      <c r="H42" s="319"/>
      <c r="I42" s="352"/>
      <c r="J42" s="352"/>
      <c r="K42" s="319"/>
      <c r="L42" s="319"/>
      <c r="M42" s="319"/>
      <c r="N42" s="319"/>
      <c r="O42" s="319"/>
      <c r="P42" s="319"/>
      <c r="Q42" s="319"/>
      <c r="R42" s="319"/>
      <c r="S42" s="319"/>
      <c r="T42" s="319"/>
      <c r="U42" s="319"/>
      <c r="V42" s="319"/>
      <c r="W42" s="319"/>
    </row>
    <row r="43" spans="1:25" x14ac:dyDescent="0.25">
      <c r="C43" s="319"/>
      <c r="D43" s="319"/>
      <c r="E43" s="319"/>
      <c r="F43" s="319"/>
      <c r="G43" s="319"/>
      <c r="H43" s="319"/>
      <c r="I43" s="352"/>
      <c r="J43" s="352"/>
      <c r="K43" s="319"/>
      <c r="L43" s="319"/>
      <c r="M43" s="319"/>
      <c r="N43" s="319"/>
      <c r="O43" s="319"/>
      <c r="P43" s="319"/>
      <c r="Q43" s="319"/>
      <c r="R43" s="319"/>
      <c r="S43" s="319"/>
      <c r="T43" s="319"/>
      <c r="U43" s="319"/>
      <c r="V43" s="319"/>
      <c r="W43" s="319"/>
    </row>
    <row r="44" spans="1:25" x14ac:dyDescent="0.25">
      <c r="C44" s="319"/>
      <c r="D44" s="319"/>
      <c r="E44" s="319"/>
      <c r="F44" s="319"/>
      <c r="G44" s="319"/>
      <c r="H44" s="319"/>
      <c r="I44" s="352"/>
      <c r="J44" s="352"/>
      <c r="K44" s="319"/>
      <c r="L44" s="319"/>
      <c r="M44" s="319"/>
      <c r="N44" s="319"/>
      <c r="O44" s="319"/>
      <c r="P44" s="319"/>
      <c r="Q44" s="319"/>
      <c r="R44" s="319"/>
      <c r="S44" s="319"/>
      <c r="T44" s="319"/>
      <c r="U44" s="319"/>
      <c r="V44" s="319"/>
      <c r="W44" s="319"/>
    </row>
    <row r="45" spans="1:25" x14ac:dyDescent="0.25">
      <c r="C45" s="319"/>
      <c r="D45" s="319"/>
      <c r="E45" s="319"/>
      <c r="F45" s="319"/>
      <c r="G45" s="319"/>
      <c r="H45" s="319"/>
      <c r="I45" s="352"/>
      <c r="J45" s="352"/>
      <c r="K45" s="319"/>
      <c r="L45" s="319"/>
      <c r="M45" s="319"/>
      <c r="N45" s="319"/>
      <c r="O45" s="319"/>
      <c r="P45" s="319"/>
      <c r="Q45" s="319"/>
      <c r="R45" s="319"/>
      <c r="S45" s="319"/>
      <c r="T45" s="319"/>
      <c r="U45" s="319"/>
      <c r="V45" s="319"/>
      <c r="W45" s="319"/>
    </row>
    <row r="46" spans="1:25" x14ac:dyDescent="0.25">
      <c r="C46" s="319"/>
      <c r="D46" s="319"/>
      <c r="E46" s="319"/>
      <c r="F46" s="319"/>
      <c r="G46" s="319"/>
      <c r="H46" s="319"/>
      <c r="I46" s="352"/>
      <c r="J46" s="352"/>
      <c r="K46" s="319"/>
      <c r="L46" s="319"/>
      <c r="M46" s="319"/>
      <c r="N46" s="319"/>
      <c r="O46" s="319"/>
      <c r="P46" s="319"/>
      <c r="Q46" s="319"/>
      <c r="R46" s="319"/>
      <c r="S46" s="319"/>
      <c r="T46" s="319"/>
      <c r="U46" s="319"/>
      <c r="V46" s="319"/>
      <c r="W46" s="319"/>
    </row>
    <row r="47" spans="1:25" x14ac:dyDescent="0.25">
      <c r="C47" s="319"/>
      <c r="D47" s="319"/>
      <c r="E47" s="319"/>
      <c r="F47" s="319"/>
      <c r="G47" s="319"/>
      <c r="H47" s="319"/>
      <c r="I47" s="352"/>
      <c r="J47" s="352"/>
      <c r="K47" s="319"/>
      <c r="L47" s="319"/>
      <c r="M47" s="319"/>
      <c r="N47" s="319"/>
      <c r="O47" s="319"/>
      <c r="P47" s="319"/>
      <c r="Q47" s="319"/>
      <c r="R47" s="319"/>
      <c r="S47" s="319"/>
      <c r="T47" s="319"/>
      <c r="U47" s="319"/>
      <c r="V47" s="319"/>
      <c r="W47" s="319"/>
    </row>
    <row r="48" spans="1:25" x14ac:dyDescent="0.25">
      <c r="C48" s="319"/>
      <c r="D48" s="319"/>
      <c r="E48" s="319"/>
      <c r="F48" s="319"/>
      <c r="G48" s="319"/>
      <c r="H48" s="319"/>
      <c r="I48" s="352"/>
      <c r="J48" s="352"/>
      <c r="K48" s="319"/>
      <c r="L48" s="319"/>
      <c r="M48" s="319"/>
      <c r="N48" s="319"/>
      <c r="O48" s="319"/>
      <c r="P48" s="319"/>
      <c r="Q48" s="319"/>
      <c r="R48" s="319"/>
      <c r="S48" s="319"/>
      <c r="T48" s="319"/>
      <c r="U48" s="319"/>
      <c r="V48" s="319"/>
      <c r="W48" s="319"/>
    </row>
    <row r="49" spans="1:25" x14ac:dyDescent="0.25">
      <c r="C49" s="319"/>
      <c r="D49" s="319"/>
      <c r="E49" s="319"/>
      <c r="F49" s="319"/>
      <c r="G49" s="319"/>
      <c r="H49" s="319"/>
      <c r="I49" s="352"/>
      <c r="J49" s="352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</row>
    <row r="50" spans="1:25" x14ac:dyDescent="0.25">
      <c r="C50" s="319"/>
      <c r="D50" s="319"/>
      <c r="E50" s="319"/>
      <c r="F50" s="319"/>
      <c r="G50" s="319"/>
      <c r="H50" s="319"/>
      <c r="I50" s="352"/>
      <c r="J50" s="352"/>
      <c r="K50" s="319"/>
      <c r="L50" s="319"/>
      <c r="M50" s="319"/>
      <c r="N50" s="319"/>
      <c r="O50" s="319"/>
      <c r="P50" s="319"/>
      <c r="Q50" s="319"/>
      <c r="R50" s="319"/>
      <c r="S50" s="319"/>
      <c r="T50" s="319"/>
      <c r="U50" s="319"/>
      <c r="V50" s="319"/>
      <c r="W50" s="319"/>
    </row>
    <row r="51" spans="1:25" x14ac:dyDescent="0.25">
      <c r="C51" s="319"/>
      <c r="D51" s="319"/>
      <c r="E51" s="319"/>
      <c r="F51" s="319"/>
      <c r="G51" s="319"/>
      <c r="H51" s="319"/>
      <c r="I51" s="319"/>
      <c r="J51" s="319"/>
      <c r="K51" s="319"/>
      <c r="L51" s="319"/>
      <c r="M51" s="319"/>
      <c r="N51" s="319"/>
      <c r="O51" s="319"/>
      <c r="P51" s="319"/>
      <c r="Q51" s="319"/>
      <c r="R51" s="319"/>
      <c r="S51" s="319"/>
      <c r="T51" s="319"/>
      <c r="U51" s="319"/>
      <c r="V51" s="319"/>
      <c r="W51" s="319"/>
    </row>
    <row r="52" spans="1:25" x14ac:dyDescent="0.25">
      <c r="C52" s="319"/>
      <c r="D52" s="319"/>
      <c r="E52" s="319"/>
      <c r="F52" s="319"/>
      <c r="G52" s="319"/>
      <c r="H52" s="319"/>
      <c r="I52" s="319"/>
      <c r="J52" s="319"/>
      <c r="K52" s="319"/>
      <c r="L52" s="319"/>
      <c r="M52" s="319"/>
      <c r="N52" s="319"/>
      <c r="O52" s="319"/>
      <c r="P52" s="319"/>
      <c r="Q52" s="319"/>
      <c r="R52" s="319"/>
      <c r="S52" s="319"/>
      <c r="T52" s="319"/>
      <c r="U52" s="319"/>
      <c r="V52" s="319"/>
      <c r="W52" s="319"/>
    </row>
    <row r="53" spans="1:25" x14ac:dyDescent="0.25">
      <c r="C53" s="319"/>
      <c r="D53" s="319"/>
      <c r="E53" s="319"/>
      <c r="F53" s="319"/>
      <c r="G53" s="319"/>
      <c r="H53" s="319"/>
      <c r="I53" s="319"/>
      <c r="J53" s="319"/>
      <c r="K53" s="319"/>
      <c r="L53" s="319"/>
      <c r="M53" s="319"/>
      <c r="N53" s="319"/>
      <c r="O53" s="319"/>
      <c r="P53" s="319"/>
      <c r="Q53" s="319"/>
      <c r="R53" s="319"/>
      <c r="S53" s="319"/>
      <c r="T53" s="319"/>
      <c r="U53" s="319"/>
      <c r="V53" s="319"/>
      <c r="W53" s="319"/>
    </row>
    <row r="54" spans="1:25" x14ac:dyDescent="0.25">
      <c r="C54" s="319"/>
      <c r="D54" s="319"/>
      <c r="E54" s="319"/>
      <c r="F54" s="319"/>
      <c r="G54" s="319"/>
      <c r="H54" s="319"/>
      <c r="I54" s="352"/>
      <c r="J54" s="352"/>
      <c r="K54" s="319"/>
      <c r="L54" s="319"/>
      <c r="M54" s="319"/>
      <c r="N54" s="319"/>
      <c r="O54" s="319"/>
      <c r="P54" s="319"/>
      <c r="Q54" s="319"/>
      <c r="R54" s="319"/>
      <c r="S54" s="319"/>
      <c r="T54" s="319"/>
      <c r="U54" s="319"/>
      <c r="V54" s="319"/>
      <c r="W54" s="319"/>
    </row>
    <row r="55" spans="1:25" x14ac:dyDescent="0.25">
      <c r="C55" s="319"/>
      <c r="D55" s="319"/>
      <c r="E55" s="319"/>
      <c r="F55" s="319"/>
      <c r="G55" s="319"/>
      <c r="H55" s="319"/>
      <c r="I55" s="352"/>
      <c r="J55" s="352"/>
      <c r="K55" s="319"/>
      <c r="L55" s="319"/>
      <c r="M55" s="319"/>
      <c r="N55" s="319"/>
      <c r="O55" s="319"/>
      <c r="P55" s="319"/>
      <c r="Q55" s="319"/>
      <c r="R55" s="319"/>
      <c r="S55" s="319"/>
      <c r="T55" s="319"/>
      <c r="U55" s="319"/>
      <c r="V55" s="319"/>
      <c r="W55" s="319"/>
    </row>
    <row r="56" spans="1:25" x14ac:dyDescent="0.25">
      <c r="C56" s="319"/>
      <c r="D56" s="319"/>
      <c r="E56" s="319"/>
      <c r="F56" s="319"/>
      <c r="G56" s="319"/>
      <c r="H56" s="319"/>
      <c r="I56" s="319"/>
      <c r="J56" s="319"/>
      <c r="K56" s="319"/>
      <c r="L56" s="319"/>
      <c r="M56" s="319"/>
      <c r="N56" s="319"/>
      <c r="O56" s="319"/>
      <c r="P56" s="319"/>
      <c r="Q56" s="319"/>
      <c r="R56" s="319"/>
      <c r="S56" s="319"/>
      <c r="T56" s="319"/>
      <c r="U56" s="319"/>
      <c r="V56" s="319"/>
      <c r="W56" s="319"/>
    </row>
    <row r="57" spans="1:25" x14ac:dyDescent="0.25">
      <c r="C57" s="319"/>
      <c r="D57" s="319"/>
      <c r="E57" s="319"/>
      <c r="F57" s="319"/>
      <c r="G57" s="319"/>
      <c r="H57" s="319"/>
      <c r="I57" s="319"/>
      <c r="J57" s="319"/>
      <c r="K57" s="319"/>
      <c r="L57" s="319"/>
      <c r="M57" s="319"/>
      <c r="N57" s="319"/>
      <c r="O57" s="319"/>
      <c r="P57" s="319"/>
      <c r="Q57" s="319"/>
      <c r="R57" s="319"/>
      <c r="S57" s="319"/>
      <c r="T57" s="319"/>
      <c r="U57" s="319"/>
      <c r="V57" s="319"/>
      <c r="W57" s="319"/>
    </row>
    <row r="58" spans="1:25" x14ac:dyDescent="0.25">
      <c r="C58" s="319"/>
      <c r="D58" s="319"/>
      <c r="E58" s="319"/>
      <c r="F58" s="319"/>
      <c r="G58" s="319"/>
      <c r="H58" s="319"/>
      <c r="I58" s="319"/>
      <c r="J58" s="319"/>
      <c r="K58" s="319"/>
      <c r="L58" s="319"/>
      <c r="M58" s="319"/>
      <c r="N58" s="319"/>
      <c r="O58" s="319"/>
      <c r="P58" s="319"/>
      <c r="Q58" s="319"/>
      <c r="R58" s="319"/>
      <c r="S58" s="319"/>
      <c r="T58" s="319"/>
      <c r="U58" s="319"/>
      <c r="V58" s="319"/>
      <c r="W58" s="319"/>
    </row>
    <row r="59" spans="1:25" x14ac:dyDescent="0.25">
      <c r="C59" s="319"/>
      <c r="D59" s="319"/>
      <c r="E59" s="319"/>
      <c r="F59" s="319"/>
      <c r="G59" s="319"/>
      <c r="H59" s="319"/>
      <c r="I59" s="352"/>
      <c r="J59" s="352"/>
      <c r="K59" s="319"/>
      <c r="L59" s="319"/>
      <c r="M59" s="319"/>
      <c r="N59" s="381"/>
      <c r="O59" s="319"/>
      <c r="P59" s="319"/>
      <c r="Q59" s="319"/>
      <c r="R59" s="319"/>
      <c r="S59" s="381"/>
      <c r="T59" s="319"/>
      <c r="U59" s="319"/>
      <c r="V59" s="319"/>
      <c r="W59" s="319"/>
    </row>
    <row r="60" spans="1:25" x14ac:dyDescent="0.25">
      <c r="C60" s="319"/>
      <c r="D60" s="319"/>
      <c r="E60" s="319"/>
      <c r="F60" s="319"/>
      <c r="G60" s="319"/>
      <c r="H60" s="319"/>
      <c r="I60" s="352"/>
      <c r="J60" s="352"/>
      <c r="K60" s="319"/>
      <c r="L60" s="319"/>
      <c r="M60" s="319"/>
      <c r="N60" s="319"/>
      <c r="O60" s="319"/>
      <c r="P60" s="319"/>
      <c r="Q60" s="319"/>
      <c r="R60" s="319"/>
      <c r="S60" s="319"/>
      <c r="T60" s="319"/>
      <c r="U60" s="319"/>
      <c r="V60" s="319"/>
      <c r="W60" s="319"/>
    </row>
    <row r="61" spans="1:25" x14ac:dyDescent="0.25">
      <c r="C61" s="319"/>
      <c r="D61" s="319"/>
      <c r="E61" s="319"/>
      <c r="F61" s="319"/>
      <c r="G61" s="319"/>
      <c r="H61" s="319"/>
      <c r="I61" s="352"/>
      <c r="J61" s="352"/>
      <c r="K61" s="319"/>
      <c r="L61" s="319"/>
      <c r="M61" s="319"/>
      <c r="N61" s="319"/>
      <c r="O61" s="319"/>
      <c r="P61" s="319"/>
      <c r="Q61" s="319"/>
      <c r="R61" s="319"/>
      <c r="S61" s="319"/>
      <c r="T61" s="319"/>
      <c r="U61" s="319"/>
      <c r="V61" s="319"/>
      <c r="W61" s="319"/>
    </row>
    <row r="62" spans="1:25" x14ac:dyDescent="0.25">
      <c r="C62" s="319"/>
      <c r="D62" s="319"/>
      <c r="E62" s="319"/>
      <c r="F62" s="319"/>
      <c r="G62" s="319"/>
      <c r="H62" s="319"/>
      <c r="I62" s="319"/>
      <c r="J62" s="319"/>
      <c r="K62" s="319"/>
      <c r="L62" s="319"/>
      <c r="M62" s="319"/>
      <c r="N62" s="319"/>
      <c r="O62" s="319"/>
      <c r="P62" s="319"/>
      <c r="Q62" s="319"/>
      <c r="R62" s="319"/>
      <c r="S62" s="319"/>
      <c r="T62" s="319"/>
      <c r="U62" s="319"/>
      <c r="V62" s="319"/>
      <c r="W62" s="319"/>
    </row>
    <row r="63" spans="1:25" x14ac:dyDescent="0.25">
      <c r="C63" s="319"/>
      <c r="D63" s="319"/>
      <c r="E63" s="319"/>
      <c r="F63" s="319"/>
      <c r="G63" s="319"/>
      <c r="H63" s="319"/>
      <c r="I63" s="319"/>
      <c r="J63" s="319"/>
      <c r="K63" s="319"/>
      <c r="L63" s="319"/>
      <c r="M63" s="319"/>
      <c r="N63" s="319"/>
      <c r="O63" s="319"/>
      <c r="P63" s="319"/>
      <c r="Q63" s="319"/>
      <c r="R63" s="319"/>
      <c r="S63" s="319"/>
      <c r="T63" s="319"/>
      <c r="U63" s="319"/>
      <c r="V63" s="319"/>
      <c r="W63" s="319"/>
    </row>
    <row r="64" spans="1:25" x14ac:dyDescent="0.25">
      <c r="C64" s="319"/>
      <c r="D64" s="319"/>
      <c r="E64" s="319"/>
      <c r="F64" s="319"/>
      <c r="G64" s="319"/>
      <c r="H64" s="319"/>
      <c r="I64" s="319"/>
      <c r="J64" s="319"/>
      <c r="K64" s="319"/>
      <c r="L64" s="319"/>
      <c r="M64" s="319"/>
      <c r="N64" s="319"/>
      <c r="O64" s="319"/>
      <c r="P64" s="319"/>
      <c r="Q64" s="319"/>
      <c r="R64" s="319"/>
      <c r="S64" s="319"/>
      <c r="T64" s="319"/>
      <c r="U64" s="319"/>
      <c r="V64" s="319"/>
      <c r="W64" s="319"/>
    </row>
    <row r="65" spans="1:25" x14ac:dyDescent="0.25">
      <c r="C65" s="319"/>
      <c r="D65" s="319"/>
      <c r="E65" s="319"/>
      <c r="F65" s="319"/>
      <c r="G65" s="319"/>
      <c r="H65" s="319"/>
      <c r="I65" s="352"/>
      <c r="J65" s="352"/>
      <c r="K65" s="319"/>
      <c r="L65" s="319"/>
      <c r="M65" s="319"/>
      <c r="N65" s="319"/>
      <c r="O65" s="319"/>
      <c r="P65" s="319"/>
      <c r="Q65" s="319"/>
      <c r="R65" s="319"/>
      <c r="S65" s="319"/>
      <c r="T65" s="319"/>
      <c r="U65" s="319"/>
      <c r="V65" s="319"/>
      <c r="W65" s="319"/>
    </row>
    <row r="66" spans="1:25" x14ac:dyDescent="0.25">
      <c r="C66" s="319"/>
      <c r="D66" s="319"/>
      <c r="E66" s="319"/>
      <c r="F66" s="319"/>
      <c r="G66" s="319"/>
      <c r="H66" s="319"/>
      <c r="I66" s="319"/>
      <c r="J66" s="319"/>
      <c r="K66" s="319"/>
      <c r="L66" s="319"/>
      <c r="M66" s="319"/>
      <c r="N66" s="319"/>
      <c r="O66" s="319"/>
      <c r="P66" s="319"/>
      <c r="Q66" s="319"/>
      <c r="R66" s="319"/>
      <c r="S66" s="319"/>
      <c r="T66" s="319"/>
      <c r="U66" s="319"/>
      <c r="V66" s="319"/>
      <c r="W66" s="319"/>
    </row>
    <row r="67" spans="1:25" x14ac:dyDescent="0.25">
      <c r="C67" s="319"/>
      <c r="D67" s="319"/>
      <c r="E67" s="319"/>
      <c r="F67" s="319"/>
      <c r="G67" s="319"/>
      <c r="H67" s="319"/>
      <c r="I67" s="319"/>
      <c r="J67" s="319"/>
      <c r="K67" s="319"/>
      <c r="L67" s="319"/>
      <c r="M67" s="319"/>
      <c r="N67" s="319"/>
      <c r="O67" s="319"/>
      <c r="P67" s="319"/>
      <c r="Q67" s="319"/>
      <c r="R67" s="319"/>
      <c r="S67" s="319"/>
      <c r="T67" s="319"/>
      <c r="U67" s="319"/>
      <c r="V67" s="319"/>
      <c r="W67" s="319"/>
    </row>
    <row r="68" spans="1:25" x14ac:dyDescent="0.25">
      <c r="C68" s="319"/>
      <c r="D68" s="319"/>
      <c r="E68" s="319"/>
      <c r="F68" s="319"/>
      <c r="G68" s="319"/>
      <c r="H68" s="319"/>
      <c r="I68" s="319"/>
      <c r="J68" s="319"/>
      <c r="K68" s="319"/>
      <c r="L68" s="319"/>
      <c r="M68" s="319"/>
      <c r="N68" s="319"/>
      <c r="O68" s="319"/>
      <c r="P68" s="319"/>
      <c r="Q68" s="319"/>
      <c r="R68" s="319"/>
      <c r="S68" s="319"/>
      <c r="T68" s="319"/>
      <c r="U68" s="319"/>
      <c r="V68" s="319"/>
      <c r="W68" s="319"/>
    </row>
    <row r="69" spans="1:25" x14ac:dyDescent="0.25">
      <c r="C69" s="319"/>
      <c r="D69" s="319"/>
      <c r="E69" s="319"/>
      <c r="F69" s="319"/>
      <c r="G69" s="319"/>
      <c r="H69" s="319"/>
      <c r="I69" s="319"/>
      <c r="J69" s="319"/>
      <c r="K69" s="319"/>
      <c r="L69" s="319"/>
      <c r="M69" s="319"/>
      <c r="N69" s="319"/>
      <c r="O69" s="319"/>
      <c r="P69" s="319"/>
      <c r="Q69" s="319"/>
      <c r="R69" s="319"/>
      <c r="S69" s="319"/>
      <c r="T69" s="319"/>
      <c r="U69" s="319"/>
      <c r="V69" s="319"/>
      <c r="W69" s="319"/>
    </row>
    <row r="70" spans="1:25" x14ac:dyDescent="0.25"/>
    <row r="71" spans="1:25" x14ac:dyDescent="0.25"/>
    <row r="72" spans="1:25" x14ac:dyDescent="0.25"/>
    <row r="73" spans="1:25" x14ac:dyDescent="0.25"/>
    <row r="74" spans="1:25" x14ac:dyDescent="0.25"/>
    <row r="75" spans="1:25" x14ac:dyDescent="0.25"/>
    <row r="76" spans="1:25" x14ac:dyDescent="0.25"/>
    <row r="77" spans="1:25" x14ac:dyDescent="0.25"/>
    <row r="78" spans="1:25" x14ac:dyDescent="0.25"/>
    <row r="79" spans="1:25" x14ac:dyDescent="0.25"/>
  </sheetData>
  <conditionalFormatting sqref="F26:F1048576">
    <cfRule type="cellIs" dxfId="2" priority="1" operator="lessThan">
      <formula>44743</formula>
    </cfRule>
  </conditionalFormatting>
  <pageMargins left="0.7" right="0.7" top="0.75" bottom="0.75" header="0.3" footer="0.3"/>
  <pageSetup paperSize="3" orientation="landscape" horizontalDpi="4294967295" verticalDpi="4294967295" scale="72" fitToWidth="1" fitToHeight="0" firstPageNumber="1" useFirstPageNumber="1" copies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D9D9"/>
    <pageSetUpPr fitToPage="1"/>
  </sheetPr>
  <dimension ref="A1:S45"/>
  <sheetViews>
    <sheetView workbookViewId="0" showGridLines="0" zoomScale="100" zoomScaleNormal="100" view="pageBreakPreview">
      <selection activeCell="M6" sqref="M6"/>
    </sheetView>
  </sheetViews>
  <sheetFormatPr defaultRowHeight="15" outlineLevelRow="0" outlineLevelCol="0" x14ac:dyDescent="0.25"/>
  <cols>
    <col min="1" max="2" width="3.140625" customWidth="1"/>
    <col min="3" max="9" width="15.85546875" customWidth="1"/>
    <col min="10" max="11" width="16.85546875" customWidth="1"/>
    <col min="12" max="13" width="15.85546875" customWidth="1"/>
    <col min="14" max="14" width="3.140625" customWidth="1"/>
  </cols>
  <sheetData>
    <row r="1" ht="15" customHeight="1" spans="4:11" x14ac:dyDescent="0.25">
      <c r="D1" s="263" t="s">
        <v>226</v>
      </c>
      <c r="E1" s="262"/>
      <c r="F1" s="262"/>
      <c r="G1" s="263" t="s">
        <v>227</v>
      </c>
      <c r="H1" s="263" t="s">
        <v>228</v>
      </c>
      <c r="I1" s="262"/>
      <c r="J1" s="263" t="s">
        <v>180</v>
      </c>
      <c r="K1" s="263" t="s">
        <v>229</v>
      </c>
    </row>
    <row r="2" ht="15" customHeight="1" x14ac:dyDescent="0.25"/>
    <row r="3" ht="15" customHeight="1" spans="2:13" x14ac:dyDescent="0.25">
      <c r="B3" s="264"/>
      <c r="C3" s="265" t="str">
        <f>UPPER('Cash Flow'!D4)&amp;" - LEASE-UP SUMMARY"</f>
        <v>DISTRICT NORTH - LEASE-UP SUMMARY</v>
      </c>
      <c r="D3" s="265"/>
      <c r="E3" s="265"/>
      <c r="F3" s="265"/>
      <c r="G3" s="265"/>
      <c r="H3" s="265"/>
      <c r="I3" s="265"/>
      <c r="J3" s="265"/>
      <c r="K3" s="265"/>
      <c r="L3" s="265"/>
      <c r="M3" s="266"/>
    </row>
    <row r="4" ht="30" customHeight="1" spans="2:13" x14ac:dyDescent="0.25">
      <c r="B4" s="264"/>
      <c r="C4" s="269" t="s">
        <v>230</v>
      </c>
      <c r="D4" s="269" t="s">
        <v>231</v>
      </c>
      <c r="E4" s="324" t="s">
        <v>232</v>
      </c>
      <c r="F4" s="269" t="s">
        <v>233</v>
      </c>
      <c r="G4" s="324" t="s">
        <v>234</v>
      </c>
      <c r="H4" s="269" t="s">
        <v>235</v>
      </c>
      <c r="I4" s="269" t="s">
        <v>177</v>
      </c>
      <c r="J4" s="269" t="s">
        <v>236</v>
      </c>
      <c r="K4" s="269" t="s">
        <v>180</v>
      </c>
      <c r="L4" s="269" t="s">
        <v>237</v>
      </c>
      <c r="M4" s="324" t="s">
        <v>238</v>
      </c>
    </row>
    <row r="5" ht="15" customHeight="1" spans="2:19" x14ac:dyDescent="0.25">
      <c r="B5" s="264"/>
      <c r="C5" s="325"/>
      <c r="D5" s="326">
        <f>IFERROR(INDEX($E$30:$R$60,MATCH($C5,$D$30:$D$60,0),MATCH(D$1,$E$27:$R$27,0)),"")</f>
        <v>63523</v>
      </c>
      <c r="E5" s="327">
        <f>IFERROR(D5/'Cash Flow'!$D$8,"")</f>
        <v>1</v>
      </c>
      <c r="F5" s="328">
        <f>IFERROR(DATEDIF('Cash Flow'!$D$5,'Lease-Up'!G5,"m")+1,"")</f>
        <v>7</v>
      </c>
      <c r="G5" s="329">
        <f t="shared" ref="G5:H15" si="0">IFERROR(INDEX($E$30:$R$60,MATCH($C5,$D$30:$D$60,0),MATCH(G$1,$E$27:$R$27,0)),"")</f>
        <v>46447</v>
      </c>
      <c r="H5" s="330"/>
      <c r="I5" s="331"/>
      <c r="J5" s="331"/>
      <c r="K5" s="332" t="str">
        <f>IFERROR(INDEX($E$30:$R$60,MATCH($C5,$D$30:$D$60,0),MATCH(J$1,$E$27:$R$27,0)),"")</f>
        <v>7 Years 4 Months</v>
      </c>
      <c r="L5" s="330"/>
      <c r="M5" s="333"/>
    </row>
    <row r="6" ht="15" customHeight="1" spans="2:19" x14ac:dyDescent="0.25">
      <c r="B6" s="264"/>
      <c r="C6" s="263"/>
      <c r="D6" s="334">
        <f>IFERROR(INDEX($E$30:$R$60,MATCH($C6,$D$30:$D$60,0),MATCH(D$1,$E$27:$R$27,0)),"")</f>
      </c>
      <c r="E6" s="335">
        <f>IFERROR(D6/'Cash Flow'!$D$8,"")</f>
      </c>
      <c r="F6" s="336">
        <f>IFERROR(DATEDIF('Cash Flow'!$D$5,'Lease-Up'!G6,"m")+1,"")</f>
      </c>
      <c r="G6" s="337"/>
      <c r="H6" s="338"/>
      <c r="I6" s="339"/>
      <c r="J6" s="339"/>
      <c r="K6" s="340">
        <f>IFERROR(INDEX($E$30:$R$60,MATCH($C6,$D$30:$D$60,0),MATCH(J$1,$E$27:$R$27,0)),"")</f>
      </c>
      <c r="L6" s="338">
        <f t="shared" ref="K6:L15" si="1">IFERROR(INDEX($E$30:$R$60,MATCH($C6,$D$30:$D$60,0),MATCH(K$1,$E$27:$R$27,0)),"")</f>
      </c>
      <c r="M6" s="341"/>
    </row>
    <row r="7" ht="15" customHeight="1" spans="2:19" x14ac:dyDescent="0.25">
      <c r="B7" s="264"/>
      <c r="C7" s="263"/>
      <c r="D7" s="334">
        <f t="shared" ref="D7:D15" si="2">IFERROR(INDEX($E$30:$R$60,MATCH($C7,$D$30:$D$60,0),MATCH(D$1,$E$27:$R$27,0)),"")</f>
      </c>
      <c r="E7" s="335">
        <f>IFERROR(D7/'Cash Flow'!$D$8,"")</f>
      </c>
      <c r="F7" s="336">
        <f>IFERROR(DATEDIF('Cash Flow'!$D$5,'Lease-Up'!G7,"m")+1,"")</f>
      </c>
      <c r="G7" s="337"/>
      <c r="H7" s="338"/>
      <c r="I7" s="339"/>
      <c r="J7" s="339"/>
      <c r="K7" s="340"/>
      <c r="L7" s="338"/>
      <c r="M7" s="341"/>
    </row>
    <row r="8" ht="15" customHeight="1" spans="2:19" x14ac:dyDescent="0.25">
      <c r="B8" s="264"/>
      <c r="C8" s="263"/>
      <c r="D8" s="334"/>
      <c r="E8" s="335">
        <f>IFERROR(D8/'Cash Flow'!$D$8,"")</f>
      </c>
      <c r="F8" s="336">
        <f>IFERROR(DATEDIF('Cash Flow'!$D$5,'Lease-Up'!G8,"m")+1,"")</f>
      </c>
      <c r="G8" s="337"/>
      <c r="H8" s="338"/>
      <c r="I8" s="339"/>
      <c r="J8" s="339"/>
      <c r="K8" s="340"/>
      <c r="L8" s="338"/>
      <c r="M8" s="341"/>
    </row>
    <row r="9" ht="15" customHeight="1" spans="2:19" x14ac:dyDescent="0.25">
      <c r="B9" s="264"/>
      <c r="C9" s="263"/>
      <c r="D9" s="334"/>
      <c r="E9" s="335">
        <f>IFERROR(D9/'Cash Flow'!$D$8,"")</f>
      </c>
      <c r="F9" s="336">
        <f>IFERROR(DATEDIF('Cash Flow'!$D$5,'Lease-Up'!G9,"m")+1,"")</f>
      </c>
      <c r="G9" s="337"/>
      <c r="H9" s="338"/>
      <c r="I9" s="339"/>
      <c r="J9" s="339"/>
      <c r="K9" s="340"/>
      <c r="L9" s="338"/>
      <c r="M9" s="341"/>
    </row>
    <row r="10" ht="15" customHeight="1" spans="2:19" x14ac:dyDescent="0.25">
      <c r="B10" s="264"/>
      <c r="C10" s="263"/>
      <c r="D10" s="334"/>
      <c r="E10" s="335">
        <f>IFERROR(D10/'Cash Flow'!$D$8,"")</f>
      </c>
      <c r="F10" s="336">
        <f>IFERROR(DATEDIF('Cash Flow'!$D$5,'Lease-Up'!G10,"m")+1,"")</f>
      </c>
      <c r="G10" s="337"/>
      <c r="H10" s="338"/>
      <c r="I10" s="339"/>
      <c r="J10" s="339"/>
      <c r="K10" s="340"/>
      <c r="L10" s="338"/>
      <c r="M10" s="341"/>
    </row>
    <row r="11" ht="15" customHeight="1" spans="2:19" x14ac:dyDescent="0.25">
      <c r="B11" s="264"/>
      <c r="C11" s="263"/>
      <c r="D11" s="334"/>
      <c r="E11" s="335">
        <f>IFERROR(D11/'Cash Flow'!$D$8,"")</f>
      </c>
      <c r="F11" s="336">
        <f>IFERROR(DATEDIF('Cash Flow'!$D$5,'Lease-Up'!G11,"m")+1,"")</f>
      </c>
      <c r="G11" s="337"/>
      <c r="H11" s="338"/>
      <c r="I11" s="339"/>
      <c r="J11" s="339"/>
      <c r="K11" s="340"/>
      <c r="L11" s="338"/>
      <c r="M11" s="341"/>
    </row>
    <row r="12" ht="15" customHeight="1" spans="2:19" x14ac:dyDescent="0.25">
      <c r="B12" s="264"/>
      <c r="C12" s="263"/>
      <c r="D12" s="334"/>
      <c r="E12" s="335">
        <f>IFERROR(D12/'Cash Flow'!$D$8,"")</f>
      </c>
      <c r="F12" s="336">
        <f>IFERROR(DATEDIF('Cash Flow'!$D$5,'Lease-Up'!G12,"m")+1,"")</f>
      </c>
      <c r="G12" s="337"/>
      <c r="H12" s="338"/>
      <c r="I12" s="339"/>
      <c r="J12" s="339"/>
      <c r="K12" s="340"/>
      <c r="L12" s="338"/>
      <c r="M12" s="341"/>
    </row>
    <row r="13" ht="15" customHeight="1" spans="2:19" x14ac:dyDescent="0.25">
      <c r="B13" s="264"/>
      <c r="C13" s="263"/>
      <c r="D13" s="334"/>
      <c r="E13" s="335">
        <f>IFERROR(D13/'Cash Flow'!$D$8,"")</f>
      </c>
      <c r="F13" s="336">
        <f>IFERROR(DATEDIF('Cash Flow'!$D$5,'Lease-Up'!G13,"m")+1,"")</f>
      </c>
      <c r="G13" s="337"/>
      <c r="H13" s="338"/>
      <c r="I13" s="339"/>
      <c r="J13" s="339"/>
      <c r="K13" s="340"/>
      <c r="L13" s="338"/>
      <c r="M13" s="341"/>
    </row>
    <row r="14" ht="15" customHeight="1" spans="2:19" x14ac:dyDescent="0.25">
      <c r="B14" s="264"/>
      <c r="C14" s="263"/>
      <c r="D14" s="334"/>
      <c r="E14" s="335">
        <f>IFERROR(D14/'Cash Flow'!$D$8,"")</f>
      </c>
      <c r="F14" s="336">
        <f>IFERROR(DATEDIF('Cash Flow'!$D$5,'Lease-Up'!G14,"m")+1,"")</f>
      </c>
      <c r="G14" s="337"/>
      <c r="H14" s="338"/>
      <c r="I14" s="339"/>
      <c r="J14" s="339"/>
      <c r="K14" s="340"/>
      <c r="L14" s="338"/>
      <c r="M14" s="341"/>
    </row>
    <row r="15" ht="15" customHeight="1" spans="2:19" x14ac:dyDescent="0.25">
      <c r="B15" s="264"/>
      <c r="C15" s="263"/>
      <c r="D15" s="334"/>
      <c r="E15" s="335">
        <f>IFERROR(D15/'Cash Flow'!$D$8,"")</f>
      </c>
      <c r="F15" s="336">
        <f>IFERROR(DATEDIF('Cash Flow'!$D$5,'Lease-Up'!G15,"m")+1,"")</f>
      </c>
      <c r="G15" s="337"/>
      <c r="H15" s="338"/>
      <c r="I15" s="339"/>
      <c r="J15" s="339"/>
      <c r="K15" s="340"/>
      <c r="L15" s="338"/>
      <c r="M15" s="341"/>
    </row>
    <row r="16" spans="3:13" x14ac:dyDescent="0.25">
      <c r="C16" s="342" t="s">
        <v>239</v>
      </c>
      <c r="D16" s="343">
        <f>SUM(D5:D15)</f>
        <v>63523</v>
      </c>
      <c r="E16" s="344">
        <f>IFERROR(D16/'Cash Flow'!$D$8,"")</f>
        <v>1</v>
      </c>
      <c r="F16" s="345" t="s">
        <v>240</v>
      </c>
      <c r="G16" s="346" t="s">
        <v>240</v>
      </c>
      <c r="H16" s="347">
        <f>SUMPRODUCT($D$5:$D$15,H5:H15)/$D$16</f>
        <v>18.5</v>
      </c>
      <c r="I16" s="348" t="s">
        <v>240</v>
      </c>
      <c r="J16" s="348" t="s">
        <v>240</v>
      </c>
      <c r="K16" s="349" t="s">
        <v>240</v>
      </c>
      <c r="L16" s="347">
        <f>SUMPRODUCT($D$5:$D$15,L5:L15)/$D$16</f>
        <v>5</v>
      </c>
      <c r="M16" s="350">
        <f>SUMPRODUCT($D$5:$D$15,M5:M15)/$D$16</f>
        <v>6</v>
      </c>
    </row>
    <row r="17" spans="11:11" x14ac:dyDescent="0.25">
      <c r="K17" s="351"/>
    </row>
    <row r="18" spans="11:11" x14ac:dyDescent="0.25">
      <c r="K18" s="351"/>
    </row>
    <row r="19" spans="11:11" x14ac:dyDescent="0.25">
      <c r="K19" s="351"/>
    </row>
    <row r="20" spans="3:3" x14ac:dyDescent="0.25">
      <c r="C20" s="317" t="s">
        <v>241</v>
      </c>
    </row>
    <row r="21" spans="3:18" x14ac:dyDescent="0.25">
      <c r="C21" s="318"/>
      <c r="D21" s="318"/>
      <c r="E21" s="318"/>
      <c r="F21" s="318"/>
      <c r="G21" s="318"/>
      <c r="H21" s="318"/>
      <c r="I21" s="318"/>
      <c r="J21" s="318"/>
      <c r="K21" s="318"/>
      <c r="L21" s="318"/>
      <c r="M21" s="318"/>
      <c r="N21" s="318"/>
      <c r="O21" s="318"/>
      <c r="P21" s="318"/>
      <c r="Q21" s="318"/>
      <c r="R21" s="318"/>
    </row>
    <row r="22" spans="3:18" x14ac:dyDescent="0.25">
      <c r="C22" s="319"/>
      <c r="D22" s="319"/>
      <c r="E22" s="319"/>
      <c r="F22" s="319"/>
      <c r="G22" s="319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</row>
    <row r="23" spans="3:18" x14ac:dyDescent="0.25">
      <c r="C23" s="320" t="s">
        <v>242</v>
      </c>
      <c r="D23" s="319"/>
      <c r="E23" s="319"/>
      <c r="F23" s="319"/>
      <c r="G23" s="319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</row>
    <row r="24" spans="3:19" x14ac:dyDescent="0.25">
      <c r="C24" s="320">
        <v>46188.60555555555</v>
      </c>
      <c r="D24" s="319"/>
      <c r="E24" s="319"/>
      <c r="F24" s="319"/>
      <c r="G24" s="319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</row>
    <row r="25" spans="3:19" x14ac:dyDescent="0.25">
      <c r="C25" s="319"/>
      <c r="D25" s="319"/>
      <c r="E25" s="319"/>
      <c r="F25" s="319"/>
      <c r="G25" s="319"/>
      <c r="H25" s="319"/>
      <c r="I25" s="319"/>
      <c r="J25" s="319"/>
      <c r="K25" s="319"/>
      <c r="L25" s="319"/>
      <c r="M25" s="319"/>
      <c r="N25" s="319"/>
      <c r="O25" s="319"/>
      <c r="P25" s="319"/>
      <c r="Q25" s="319"/>
      <c r="R25" s="319"/>
      <c r="S25" s="319"/>
    </row>
    <row r="26" spans="3:19" x14ac:dyDescent="0.25">
      <c r="C26" s="319"/>
      <c r="D26" s="319"/>
      <c r="E26" s="319" t="s">
        <v>243</v>
      </c>
      <c r="F26" s="319" t="s">
        <v>243</v>
      </c>
      <c r="G26" s="319"/>
      <c r="H26" s="319"/>
      <c r="I26" s="319" t="s">
        <v>244</v>
      </c>
      <c r="J26" s="319" t="s">
        <v>244</v>
      </c>
      <c r="K26" s="319" t="s">
        <v>244</v>
      </c>
      <c r="L26" s="319" t="s">
        <v>245</v>
      </c>
      <c r="M26" s="319" t="s">
        <v>246</v>
      </c>
      <c r="N26" s="319" t="s">
        <v>246</v>
      </c>
      <c r="O26" s="319" t="s">
        <v>247</v>
      </c>
      <c r="P26" s="319" t="s">
        <v>247</v>
      </c>
      <c r="Q26" s="319"/>
      <c r="R26" s="319"/>
      <c r="S26" s="319"/>
    </row>
    <row r="27" spans="3:19" x14ac:dyDescent="0.25">
      <c r="C27" s="319" t="s">
        <v>248</v>
      </c>
      <c r="D27" s="319" t="s">
        <v>230</v>
      </c>
      <c r="E27" s="319" t="s">
        <v>249</v>
      </c>
      <c r="F27" s="319" t="s">
        <v>250</v>
      </c>
      <c r="G27" s="319" t="s">
        <v>227</v>
      </c>
      <c r="H27" s="319" t="s">
        <v>180</v>
      </c>
      <c r="I27" s="319" t="s">
        <v>226</v>
      </c>
      <c r="J27" s="319" t="s">
        <v>251</v>
      </c>
      <c r="K27" s="319" t="s">
        <v>228</v>
      </c>
      <c r="L27" s="319" t="s">
        <v>252</v>
      </c>
      <c r="M27" s="319" t="s">
        <v>253</v>
      </c>
      <c r="N27" s="319" t="s">
        <v>229</v>
      </c>
      <c r="O27" s="319" t="s">
        <v>254</v>
      </c>
      <c r="P27" s="319" t="s">
        <v>255</v>
      </c>
      <c r="Q27" s="319" t="s">
        <v>214</v>
      </c>
      <c r="R27" s="319" t="s">
        <v>256</v>
      </c>
      <c r="S27" s="319"/>
    </row>
    <row r="28" spans="3:19" x14ac:dyDescent="0.25">
      <c r="C28" s="319"/>
      <c r="D28" s="319"/>
      <c r="E28" s="319"/>
      <c r="F28" s="319"/>
      <c r="G28" s="319"/>
      <c r="H28" s="319"/>
      <c r="I28" s="319"/>
      <c r="J28" s="319"/>
      <c r="K28" s="319"/>
      <c r="L28" s="319"/>
      <c r="M28" s="319"/>
      <c r="N28" s="319"/>
      <c r="O28" s="319"/>
      <c r="P28" s="319"/>
      <c r="Q28" s="319"/>
      <c r="R28" s="319"/>
      <c r="S28" s="319"/>
    </row>
    <row r="29" spans="3:19" x14ac:dyDescent="0.25">
      <c r="C29" s="319" t="s">
        <v>257</v>
      </c>
      <c r="D29" s="319"/>
      <c r="E29" s="319"/>
      <c r="F29" s="319"/>
      <c r="G29" s="319"/>
      <c r="H29" s="319"/>
      <c r="I29" s="319"/>
      <c r="J29" s="319"/>
      <c r="K29" s="319"/>
      <c r="L29" s="319"/>
      <c r="M29" s="319"/>
      <c r="N29" s="319"/>
      <c r="O29" s="319"/>
      <c r="P29" s="319"/>
      <c r="Q29" s="319"/>
      <c r="R29" s="319"/>
      <c r="S29" s="319"/>
    </row>
    <row r="30" spans="1:19" x14ac:dyDescent="0.25">
      <c r="C30" s="319"/>
      <c r="D30" s="319"/>
      <c r="E30" s="319"/>
      <c r="F30" s="319"/>
      <c r="G30" s="352"/>
      <c r="H30" s="319"/>
      <c r="I30" s="319"/>
      <c r="J30" s="319"/>
      <c r="K30" s="319"/>
      <c r="L30" s="319"/>
      <c r="M30" s="319"/>
      <c r="N30" s="319"/>
      <c r="O30" s="319"/>
      <c r="P30" s="319"/>
      <c r="Q30" s="319"/>
      <c r="R30" s="319"/>
      <c r="S30" s="319"/>
    </row>
    <row r="31" spans="1:19" x14ac:dyDescent="0.25">
      <c r="C31" s="319"/>
      <c r="D31" s="319"/>
      <c r="E31" s="319"/>
      <c r="F31" s="319"/>
      <c r="G31" s="352"/>
      <c r="H31" s="319"/>
      <c r="I31" s="319"/>
      <c r="J31" s="319"/>
      <c r="K31" s="319"/>
      <c r="L31" s="319"/>
      <c r="M31" s="319"/>
      <c r="N31" s="319"/>
      <c r="O31" s="319"/>
      <c r="P31" s="319"/>
      <c r="Q31" s="319"/>
      <c r="R31" s="319"/>
      <c r="S31" s="319"/>
    </row>
    <row r="32" spans="1:19" x14ac:dyDescent="0.25">
      <c r="C32" s="319"/>
      <c r="D32" s="319"/>
      <c r="E32" s="319"/>
      <c r="F32" s="319"/>
      <c r="G32" s="319"/>
      <c r="H32" s="319"/>
      <c r="I32" s="319"/>
      <c r="J32" s="319"/>
      <c r="K32" s="319"/>
      <c r="L32" s="319"/>
      <c r="M32" s="319"/>
      <c r="N32" s="319"/>
      <c r="O32" s="319"/>
      <c r="P32" s="319"/>
      <c r="Q32" s="319"/>
      <c r="R32" s="319"/>
      <c r="S32" s="319"/>
    </row>
    <row r="33" spans="1:19" x14ac:dyDescent="0.25">
      <c r="C33" s="319"/>
      <c r="D33" s="319"/>
      <c r="E33" s="319"/>
      <c r="F33" s="319"/>
      <c r="G33" s="319"/>
      <c r="H33" s="319"/>
      <c r="I33" s="319"/>
      <c r="J33" s="319"/>
      <c r="K33" s="319"/>
      <c r="L33" s="319"/>
      <c r="M33" s="319"/>
      <c r="N33" s="319"/>
      <c r="O33" s="319"/>
      <c r="P33" s="319"/>
      <c r="Q33" s="319"/>
      <c r="R33" s="319"/>
      <c r="S33" s="319"/>
    </row>
    <row r="34" spans="1:19" x14ac:dyDescent="0.25">
      <c r="C34" s="319"/>
      <c r="D34" s="319"/>
      <c r="E34" s="319"/>
      <c r="F34" s="319"/>
      <c r="G34" s="319"/>
      <c r="H34" s="319"/>
      <c r="I34" s="319"/>
      <c r="J34" s="319"/>
      <c r="K34" s="319"/>
      <c r="L34" s="319"/>
      <c r="M34" s="319"/>
      <c r="N34" s="319"/>
      <c r="O34" s="319"/>
      <c r="P34" s="319"/>
      <c r="Q34" s="319"/>
      <c r="R34" s="319"/>
      <c r="S34" s="319"/>
    </row>
    <row r="35" spans="1:19" x14ac:dyDescent="0.25">
      <c r="C35" s="319"/>
      <c r="D35" s="319"/>
      <c r="E35" s="319"/>
      <c r="F35" s="319"/>
      <c r="G35" s="352"/>
      <c r="H35" s="319"/>
      <c r="I35" s="319"/>
      <c r="J35" s="319"/>
      <c r="K35" s="319"/>
      <c r="L35" s="319"/>
      <c r="M35" s="319"/>
      <c r="N35" s="319"/>
      <c r="O35" s="319"/>
      <c r="P35" s="319"/>
      <c r="Q35" s="319"/>
      <c r="R35" s="319"/>
      <c r="S35" s="319"/>
    </row>
    <row r="36" spans="1:19" x14ac:dyDescent="0.25">
      <c r="C36" s="319"/>
      <c r="D36" s="319"/>
      <c r="E36" s="319"/>
      <c r="F36" s="319"/>
      <c r="G36" s="352"/>
      <c r="H36" s="319"/>
      <c r="I36" s="319"/>
      <c r="J36" s="319"/>
      <c r="K36" s="319"/>
      <c r="L36" s="319"/>
      <c r="M36" s="319"/>
      <c r="N36" s="319"/>
      <c r="O36" s="319"/>
      <c r="P36" s="319"/>
      <c r="Q36" s="319"/>
      <c r="R36" s="319"/>
      <c r="S36" s="319"/>
    </row>
    <row r="37" spans="1:19" x14ac:dyDescent="0.25">
      <c r="C37" s="319"/>
      <c r="D37" s="319"/>
      <c r="E37" s="319"/>
      <c r="F37" s="319"/>
      <c r="G37" s="319"/>
      <c r="H37" s="319"/>
      <c r="I37" s="319"/>
      <c r="J37" s="319"/>
      <c r="K37" s="319"/>
      <c r="L37" s="319"/>
      <c r="M37" s="319"/>
      <c r="N37" s="319"/>
      <c r="O37" s="319"/>
      <c r="P37" s="319"/>
      <c r="Q37" s="319"/>
      <c r="R37" s="319"/>
      <c r="S37" s="319"/>
    </row>
    <row r="38" spans="1:19" x14ac:dyDescent="0.25">
      <c r="C38" s="319"/>
      <c r="D38" s="319"/>
      <c r="E38" s="319"/>
      <c r="F38" s="319"/>
      <c r="G38" s="319"/>
      <c r="H38" s="319"/>
      <c r="I38" s="319"/>
      <c r="J38" s="319"/>
      <c r="K38" s="319"/>
      <c r="L38" s="319"/>
      <c r="M38" s="319"/>
      <c r="N38" s="319"/>
      <c r="O38" s="319"/>
      <c r="P38" s="319"/>
      <c r="Q38" s="319"/>
      <c r="R38" s="319"/>
      <c r="S38" s="319"/>
    </row>
    <row r="39" spans="1:19" x14ac:dyDescent="0.25">
      <c r="C39" s="319"/>
      <c r="D39" s="319"/>
      <c r="E39" s="319"/>
      <c r="F39" s="319"/>
      <c r="G39" s="319"/>
      <c r="H39" s="319"/>
      <c r="I39" s="319"/>
      <c r="J39" s="319"/>
      <c r="K39" s="319"/>
      <c r="L39" s="319"/>
      <c r="M39" s="319"/>
      <c r="N39" s="319"/>
      <c r="O39" s="319"/>
      <c r="P39" s="319"/>
      <c r="Q39" s="319"/>
      <c r="R39" s="319"/>
    </row>
    <row r="40" spans="1:19" x14ac:dyDescent="0.25">
      <c r="C40" s="319"/>
      <c r="D40" s="319"/>
      <c r="E40" s="319"/>
      <c r="F40" s="319"/>
      <c r="G40" s="352"/>
      <c r="H40" s="319"/>
      <c r="I40" s="319"/>
      <c r="J40" s="319"/>
      <c r="K40" s="319"/>
      <c r="L40" s="319"/>
      <c r="M40" s="319"/>
      <c r="N40" s="319"/>
      <c r="O40" s="319"/>
      <c r="P40" s="319"/>
      <c r="Q40" s="319"/>
      <c r="R40" s="319"/>
    </row>
    <row r="41" spans="1:19" x14ac:dyDescent="0.25">
      <c r="C41" s="319"/>
      <c r="D41" s="319"/>
      <c r="E41" s="319"/>
      <c r="F41" s="319"/>
      <c r="G41" s="319"/>
      <c r="H41" s="319"/>
      <c r="I41" s="319"/>
      <c r="J41" s="319"/>
      <c r="K41" s="319"/>
      <c r="L41" s="319"/>
      <c r="M41" s="319"/>
      <c r="N41" s="319"/>
      <c r="O41" s="319"/>
      <c r="P41" s="319"/>
      <c r="Q41" s="319"/>
      <c r="R41" s="319"/>
    </row>
    <row r="42" spans="1:19" x14ac:dyDescent="0.25">
      <c r="C42" s="319"/>
      <c r="D42" s="319"/>
      <c r="E42" s="319"/>
      <c r="F42" s="319"/>
      <c r="G42" s="319"/>
      <c r="H42" s="319"/>
      <c r="I42" s="319"/>
      <c r="J42" s="319"/>
      <c r="K42" s="319"/>
      <c r="L42" s="319"/>
      <c r="M42" s="319"/>
      <c r="N42" s="319"/>
      <c r="O42" s="319"/>
      <c r="P42" s="319"/>
      <c r="Q42" s="319"/>
      <c r="R42" s="319"/>
    </row>
    <row r="43" spans="1:19" x14ac:dyDescent="0.25">
      <c r="C43" s="319"/>
      <c r="D43" s="319"/>
      <c r="E43" s="319"/>
      <c r="F43" s="319"/>
      <c r="G43" s="319"/>
      <c r="H43" s="319"/>
      <c r="I43" s="319"/>
      <c r="J43" s="319"/>
      <c r="K43" s="319"/>
      <c r="L43" s="319"/>
      <c r="M43" s="319"/>
      <c r="N43" s="319"/>
      <c r="O43" s="319"/>
      <c r="P43" s="319"/>
      <c r="Q43" s="319"/>
      <c r="R43" s="319"/>
    </row>
    <row r="44" spans="1:19" x14ac:dyDescent="0.25">
      <c r="C44" s="319"/>
      <c r="D44" s="319"/>
      <c r="E44" s="319"/>
      <c r="F44" s="319"/>
      <c r="G44" s="319"/>
      <c r="H44" s="319"/>
      <c r="I44" s="319"/>
      <c r="J44" s="319"/>
      <c r="K44" s="319"/>
      <c r="L44" s="319"/>
      <c r="M44" s="319"/>
      <c r="N44" s="319"/>
      <c r="O44" s="319"/>
      <c r="P44" s="319"/>
      <c r="Q44" s="319"/>
      <c r="R44" s="319"/>
    </row>
    <row r="45" spans="1:19" x14ac:dyDescent="0.25">
      <c r="C45" s="319"/>
      <c r="D45" s="319"/>
      <c r="E45" s="319"/>
      <c r="F45" s="319"/>
      <c r="G45" s="319"/>
      <c r="H45" s="319"/>
      <c r="I45" s="319"/>
      <c r="J45" s="319"/>
      <c r="K45" s="319"/>
      <c r="L45" s="319"/>
      <c r="M45" s="319"/>
      <c r="N45" s="319"/>
      <c r="O45" s="319"/>
      <c r="P45" s="319"/>
      <c r="Q45" s="319"/>
      <c r="R45" s="319"/>
    </row>
  </sheetData>
  <pageMargins left="0.7" right="0.7" top="0.75" bottom="0.75" header="0.3" footer="0.3"/>
  <pageSetup paperSize="3" orientation="landscape" horizontalDpi="4294967295" verticalDpi="4294967295" scale="100" fitToWidth="1" fitToHeight="0" firstPageNumber="1" useFirstPageNumber="1" copies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D9D9"/>
    <pageSetUpPr fitToPage="1"/>
  </sheetPr>
  <dimension ref="A1:Q48"/>
  <sheetViews>
    <sheetView workbookViewId="0" showGridLines="0" zoomScale="89" zoomScaleNormal="80" view="pageBreakPreview"/>
  </sheetViews>
  <sheetFormatPr defaultRowHeight="15.75" outlineLevelRow="1" outlineLevelCol="0" x14ac:dyDescent="0.25" defaultColWidth="24.5703125" customHeight="1"/>
  <cols>
    <col min="1" max="2" width="4.85546875" style="382" customWidth="1"/>
    <col min="3" max="3" width="53.5703125" style="382" customWidth="1"/>
    <col min="4" max="14" width="24.5703125" style="382" customWidth="1"/>
    <col min="15" max="15" width="4.85546875" style="382" customWidth="1"/>
    <col min="16" max="16384" width="24.5703125" style="382" customWidth="1"/>
  </cols>
  <sheetData>
    <row r="1" spans="3:16" x14ac:dyDescent="0.25">
      <c r="C1" s="383"/>
      <c r="D1" s="383"/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</row>
    <row r="2" spans="3:16" x14ac:dyDescent="0.25"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</row>
    <row r="3" ht="21" customHeight="1" spans="3:16" x14ac:dyDescent="0.25">
      <c r="C3" s="384" t="str">
        <f>UPPER('Cash Flow'!D4)&amp;" - CAPEX DETAIL"</f>
        <v>DISTRICT NORTH - CAPEX DETAIL</v>
      </c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  <c r="O3" s="383"/>
      <c r="P3" s="383"/>
    </row>
    <row r="4" spans="3:17" x14ac:dyDescent="0.25">
      <c r="C4" s="387"/>
      <c r="D4" s="388">
        <f>'Cash Flow'!H5</f>
        <v>46630</v>
      </c>
      <c r="E4" s="388">
        <f>'Cash Flow'!I5</f>
        <v>46996</v>
      </c>
      <c r="F4" s="388">
        <f>'Cash Flow'!J5</f>
        <v>47361</v>
      </c>
      <c r="G4" s="388">
        <f>'Cash Flow'!K5</f>
        <v>47726</v>
      </c>
      <c r="H4" s="388">
        <f>'Cash Flow'!L5</f>
        <v>48091</v>
      </c>
      <c r="I4" s="388">
        <f>'Cash Flow'!M5</f>
        <v>48457</v>
      </c>
      <c r="J4" s="388">
        <f>'Cash Flow'!N5</f>
        <v>48822</v>
      </c>
      <c r="K4" s="388">
        <f>'Cash Flow'!O5</f>
        <v>49187</v>
      </c>
      <c r="L4" s="388">
        <f>'Cash Flow'!P5</f>
        <v>49552</v>
      </c>
      <c r="M4" s="388">
        <f>'Cash Flow'!Q5</f>
        <v>49918</v>
      </c>
      <c r="N4" s="389"/>
      <c r="P4" s="390">
        <f>'Cash Flow'!D8</f>
        <v>63523</v>
      </c>
      <c r="Q4" s="383"/>
    </row>
    <row r="5" spans="3:16" x14ac:dyDescent="0.25">
      <c r="C5" s="387"/>
      <c r="D5" s="391">
        <v>1</v>
      </c>
      <c r="E5" s="391">
        <f t="shared" ref="E5:M5" si="0">+D5+1</f>
        <v>2</v>
      </c>
      <c r="F5" s="391">
        <f t="shared" si="0"/>
        <v>3</v>
      </c>
      <c r="G5" s="391">
        <f t="shared" si="0"/>
        <v>4</v>
      </c>
      <c r="H5" s="391">
        <f t="shared" si="0"/>
        <v>5</v>
      </c>
      <c r="I5" s="391">
        <f t="shared" si="0"/>
        <v>6</v>
      </c>
      <c r="J5" s="391">
        <f t="shared" si="0"/>
        <v>7</v>
      </c>
      <c r="K5" s="391">
        <f t="shared" si="0"/>
        <v>8</v>
      </c>
      <c r="L5" s="391">
        <f t="shared" si="0"/>
        <v>9</v>
      </c>
      <c r="M5" s="391">
        <f t="shared" si="0"/>
        <v>10</v>
      </c>
      <c r="N5" s="392" t="s">
        <v>163</v>
      </c>
      <c r="O5" s="383"/>
      <c r="P5" s="383"/>
    </row>
    <row r="6" spans="3:16" x14ac:dyDescent="0.25">
      <c r="C6" s="393" t="s">
        <v>290</v>
      </c>
      <c r="D6" s="394"/>
      <c r="E6" s="394"/>
      <c r="F6" s="394"/>
      <c r="G6" s="394"/>
      <c r="H6" s="394"/>
      <c r="I6" s="394"/>
      <c r="J6" s="394"/>
      <c r="K6" s="394"/>
      <c r="L6" s="394"/>
      <c r="M6" s="394"/>
      <c r="N6" s="395"/>
      <c r="O6" s="383"/>
      <c r="P6" s="383"/>
    </row>
    <row r="7" spans="3:16" x14ac:dyDescent="0.25">
      <c r="C7" s="396" t="s">
        <v>291</v>
      </c>
      <c r="D7" s="397">
        <v>0</v>
      </c>
      <c r="E7" s="397">
        <v>0</v>
      </c>
      <c r="F7" s="397">
        <v>0</v>
      </c>
      <c r="G7" s="397">
        <v>0</v>
      </c>
      <c r="H7" s="397">
        <v>0</v>
      </c>
      <c r="I7" s="397">
        <v>0</v>
      </c>
      <c r="J7" s="397">
        <v>0</v>
      </c>
      <c r="K7" s="397">
        <v>0</v>
      </c>
      <c r="L7" s="397">
        <v>0</v>
      </c>
      <c r="M7" s="397">
        <v>0</v>
      </c>
      <c r="N7" s="398">
        <f>SUM(D7:M7)</f>
        <v>0</v>
      </c>
      <c r="O7" s="383"/>
      <c r="P7" s="383"/>
    </row>
    <row r="8" spans="3:16" x14ac:dyDescent="0.25">
      <c r="C8" s="396" t="s">
        <v>292</v>
      </c>
      <c r="D8" s="397">
        <v>0</v>
      </c>
      <c r="E8" s="397">
        <v>0</v>
      </c>
      <c r="F8" s="397">
        <v>0</v>
      </c>
      <c r="G8" s="397">
        <v>0</v>
      </c>
      <c r="H8" s="397">
        <v>0</v>
      </c>
      <c r="I8" s="397">
        <v>0</v>
      </c>
      <c r="J8" s="397">
        <v>0</v>
      </c>
      <c r="K8" s="397">
        <v>0</v>
      </c>
      <c r="L8" s="397">
        <v>0</v>
      </c>
      <c r="M8" s="397">
        <v>0</v>
      </c>
      <c r="N8" s="398">
        <f t="shared" ref="N8" si="1">SUM(D8:M8)</f>
        <v>0</v>
      </c>
      <c r="O8" s="383"/>
      <c r="P8" s="383"/>
    </row>
    <row r="9" spans="3:16" x14ac:dyDescent="0.25">
      <c r="C9" s="399">
        <v>0.03</v>
      </c>
      <c r="D9" s="400">
        <v>0</v>
      </c>
      <c r="E9" s="400">
        <v>0</v>
      </c>
      <c r="F9" s="400">
        <v>0</v>
      </c>
      <c r="G9" s="400">
        <v>0</v>
      </c>
      <c r="H9" s="400">
        <v>0</v>
      </c>
      <c r="I9" s="400">
        <v>0</v>
      </c>
      <c r="J9" s="400">
        <v>0</v>
      </c>
      <c r="K9" s="400">
        <v>0</v>
      </c>
      <c r="L9" s="400">
        <v>0</v>
      </c>
      <c r="M9" s="400">
        <v>0</v>
      </c>
      <c r="N9" s="401">
        <f>SUM(D9:M9)</f>
        <v>0</v>
      </c>
      <c r="O9" s="383"/>
      <c r="P9" s="383"/>
    </row>
    <row r="10" ht="15" customHeight="1" spans="3:16" x14ac:dyDescent="0.25">
      <c r="C10" s="402" t="s">
        <v>293</v>
      </c>
      <c r="D10" s="397">
        <f t="shared" ref="D10:N10" si="2">SUM(D7:D9)</f>
        <v>0</v>
      </c>
      <c r="E10" s="397">
        <f t="shared" si="2"/>
        <v>0</v>
      </c>
      <c r="F10" s="397">
        <f t="shared" si="2"/>
        <v>0</v>
      </c>
      <c r="G10" s="397">
        <f t="shared" si="2"/>
        <v>0</v>
      </c>
      <c r="H10" s="397">
        <f t="shared" si="2"/>
        <v>0</v>
      </c>
      <c r="I10" s="397">
        <f t="shared" si="2"/>
        <v>0</v>
      </c>
      <c r="J10" s="397">
        <f t="shared" si="2"/>
        <v>0</v>
      </c>
      <c r="K10" s="397">
        <f t="shared" si="2"/>
        <v>0</v>
      </c>
      <c r="L10" s="397">
        <f t="shared" si="2"/>
        <v>0</v>
      </c>
      <c r="M10" s="397">
        <f t="shared" si="2"/>
        <v>0</v>
      </c>
      <c r="N10" s="398">
        <f t="shared" si="2"/>
        <v>0</v>
      </c>
      <c r="O10" s="383"/>
      <c r="P10" s="383"/>
    </row>
    <row r="11" ht="15" customHeight="1" spans="3:16" x14ac:dyDescent="0.25">
      <c r="C11" s="396" t="s">
        <v>294</v>
      </c>
      <c r="D11" s="403">
        <f t="shared" ref="D11:H11" si="3">+D10/$P$4</f>
        <v>0</v>
      </c>
      <c r="E11" s="403">
        <f t="shared" si="3"/>
        <v>0</v>
      </c>
      <c r="F11" s="403">
        <f t="shared" si="3"/>
        <v>0</v>
      </c>
      <c r="G11" s="403">
        <f t="shared" si="3"/>
        <v>0</v>
      </c>
      <c r="H11" s="403">
        <f t="shared" si="3"/>
        <v>0</v>
      </c>
      <c r="I11" s="403">
        <f t="shared" ref="I11:N11" si="4">+I10/$P$4</f>
        <v>0</v>
      </c>
      <c r="J11" s="403">
        <f t="shared" si="4"/>
        <v>0</v>
      </c>
      <c r="K11" s="403">
        <f t="shared" si="4"/>
        <v>0</v>
      </c>
      <c r="L11" s="403">
        <f t="shared" si="4"/>
        <v>0</v>
      </c>
      <c r="M11" s="403">
        <f t="shared" si="4"/>
        <v>0</v>
      </c>
      <c r="N11" s="404">
        <f t="shared" si="4"/>
        <v>0</v>
      </c>
      <c r="O11" s="405"/>
      <c r="P11" s="383"/>
    </row>
    <row r="12" spans="3:16" x14ac:dyDescent="0.25">
      <c r="C12" s="393" t="s">
        <v>295</v>
      </c>
      <c r="D12" s="394"/>
      <c r="E12" s="394"/>
      <c r="F12" s="394"/>
      <c r="G12" s="394"/>
      <c r="H12" s="394"/>
      <c r="I12" s="394"/>
      <c r="J12" s="394"/>
      <c r="K12" s="394"/>
      <c r="L12" s="394"/>
      <c r="M12" s="394"/>
      <c r="N12" s="395"/>
      <c r="O12" s="383"/>
      <c r="P12" s="383"/>
    </row>
    <row r="13" spans="3:16" x14ac:dyDescent="0.25">
      <c r="C13" s="396" t="s">
        <v>296</v>
      </c>
      <c r="D13" s="397">
        <v>0</v>
      </c>
      <c r="E13" s="397">
        <v>0</v>
      </c>
      <c r="F13" s="397">
        <v>0</v>
      </c>
      <c r="G13" s="397">
        <v>0</v>
      </c>
      <c r="H13" s="397">
        <v>0</v>
      </c>
      <c r="I13" s="397">
        <v>0</v>
      </c>
      <c r="J13" s="397">
        <v>0</v>
      </c>
      <c r="K13" s="397">
        <v>0</v>
      </c>
      <c r="L13" s="397">
        <v>0</v>
      </c>
      <c r="M13" s="397">
        <v>0</v>
      </c>
      <c r="N13" s="398">
        <f>SUM(D13:M13)</f>
        <v>0</v>
      </c>
      <c r="O13" s="383"/>
      <c r="P13" s="383"/>
    </row>
    <row r="14" spans="3:16" x14ac:dyDescent="0.25">
      <c r="C14" s="396" t="s">
        <v>297</v>
      </c>
      <c r="D14" s="397">
        <v>0</v>
      </c>
      <c r="E14" s="397">
        <v>0</v>
      </c>
      <c r="F14" s="397">
        <v>0</v>
      </c>
      <c r="G14" s="397">
        <v>0</v>
      </c>
      <c r="H14" s="397">
        <v>0</v>
      </c>
      <c r="I14" s="397">
        <v>0</v>
      </c>
      <c r="J14" s="397">
        <v>0</v>
      </c>
      <c r="K14" s="397">
        <v>0</v>
      </c>
      <c r="L14" s="397">
        <v>0</v>
      </c>
      <c r="M14" s="397">
        <v>0</v>
      </c>
      <c r="N14" s="398"/>
      <c r="O14" s="383"/>
      <c r="P14" s="383"/>
    </row>
    <row r="15" spans="3:16" x14ac:dyDescent="0.25">
      <c r="C15" s="399">
        <v>0.03</v>
      </c>
      <c r="D15" s="400">
        <f t="shared" ref="D15:M15" si="5">+$C$15*SUM(D13:D14)</f>
        <v>0</v>
      </c>
      <c r="E15" s="400">
        <f t="shared" si="5"/>
        <v>0</v>
      </c>
      <c r="F15" s="400">
        <f t="shared" si="5"/>
        <v>0</v>
      </c>
      <c r="G15" s="400">
        <f t="shared" si="5"/>
        <v>0</v>
      </c>
      <c r="H15" s="400">
        <f t="shared" si="5"/>
        <v>0</v>
      </c>
      <c r="I15" s="400">
        <f t="shared" si="5"/>
        <v>0</v>
      </c>
      <c r="J15" s="400">
        <f t="shared" si="5"/>
        <v>0</v>
      </c>
      <c r="K15" s="400">
        <f t="shared" si="5"/>
        <v>0</v>
      </c>
      <c r="L15" s="400">
        <f t="shared" si="5"/>
        <v>0</v>
      </c>
      <c r="M15" s="400">
        <f t="shared" si="5"/>
        <v>0</v>
      </c>
      <c r="N15" s="401">
        <f>SUM(D15:M15)</f>
        <v>0</v>
      </c>
      <c r="O15" s="383"/>
      <c r="P15" s="383"/>
    </row>
    <row r="16" spans="3:16" x14ac:dyDescent="0.25">
      <c r="C16" s="402" t="s">
        <v>293</v>
      </c>
      <c r="D16" s="397">
        <f t="shared" ref="D16:N16" si="6">SUM(D13:D15)</f>
        <v>0</v>
      </c>
      <c r="E16" s="397">
        <f t="shared" si="6"/>
        <v>0</v>
      </c>
      <c r="F16" s="397">
        <f t="shared" si="6"/>
        <v>0</v>
      </c>
      <c r="G16" s="397">
        <f t="shared" si="6"/>
        <v>0</v>
      </c>
      <c r="H16" s="397">
        <f t="shared" si="6"/>
        <v>0</v>
      </c>
      <c r="I16" s="397">
        <f t="shared" si="6"/>
        <v>0</v>
      </c>
      <c r="J16" s="397">
        <f t="shared" si="6"/>
        <v>0</v>
      </c>
      <c r="K16" s="397">
        <f t="shared" si="6"/>
        <v>0</v>
      </c>
      <c r="L16" s="397">
        <f t="shared" si="6"/>
        <v>0</v>
      </c>
      <c r="M16" s="397">
        <f t="shared" si="6"/>
        <v>0</v>
      </c>
      <c r="N16" s="398">
        <f t="shared" si="6"/>
        <v>0</v>
      </c>
      <c r="O16" s="383"/>
      <c r="P16" s="383"/>
    </row>
    <row r="17" ht="17.45" customHeight="1" spans="3:16" x14ac:dyDescent="0.25">
      <c r="C17" s="396" t="s">
        <v>294</v>
      </c>
      <c r="D17" s="403">
        <f t="shared" ref="D17:N17" si="7">+D16/$P$4</f>
        <v>0</v>
      </c>
      <c r="E17" s="403">
        <f t="shared" si="7"/>
        <v>0</v>
      </c>
      <c r="F17" s="403">
        <f t="shared" si="7"/>
        <v>0</v>
      </c>
      <c r="G17" s="403">
        <f t="shared" si="7"/>
        <v>0</v>
      </c>
      <c r="H17" s="403">
        <f t="shared" si="7"/>
        <v>0</v>
      </c>
      <c r="I17" s="403">
        <f t="shared" si="7"/>
        <v>0</v>
      </c>
      <c r="J17" s="403">
        <f t="shared" si="7"/>
        <v>0</v>
      </c>
      <c r="K17" s="403">
        <f t="shared" si="7"/>
        <v>0</v>
      </c>
      <c r="L17" s="403">
        <f t="shared" si="7"/>
        <v>0</v>
      </c>
      <c r="M17" s="403">
        <f t="shared" si="7"/>
        <v>0</v>
      </c>
      <c r="N17" s="404">
        <f t="shared" si="7"/>
        <v>0</v>
      </c>
      <c r="O17" s="405"/>
      <c r="P17" s="383"/>
    </row>
    <row r="18" spans="3:16" x14ac:dyDescent="0.25">
      <c r="C18" s="406" t="s">
        <v>298</v>
      </c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5"/>
      <c r="O18" s="383"/>
      <c r="P18" s="383"/>
    </row>
    <row r="19" ht="15.6" customHeight="1" spans="3:16" x14ac:dyDescent="0.25">
      <c r="C19" s="396" t="s">
        <v>299</v>
      </c>
      <c r="D19" s="397">
        <v>0</v>
      </c>
      <c r="E19" s="397">
        <v>0</v>
      </c>
      <c r="F19" s="397">
        <v>0</v>
      </c>
      <c r="G19" s="397">
        <v>0</v>
      </c>
      <c r="H19" s="397">
        <v>0</v>
      </c>
      <c r="I19" s="397">
        <v>0</v>
      </c>
      <c r="J19" s="397">
        <v>0</v>
      </c>
      <c r="K19" s="397">
        <v>0</v>
      </c>
      <c r="L19" s="397">
        <v>0</v>
      </c>
      <c r="M19" s="397">
        <v>0</v>
      </c>
      <c r="N19" s="398">
        <f t="shared" ref="N19:N28" si="8">SUM(D19:M19)</f>
        <v>0</v>
      </c>
      <c r="O19" s="383"/>
      <c r="P19" s="383"/>
    </row>
    <row r="20" ht="15.6" customHeight="1" spans="3:16" x14ac:dyDescent="0.25">
      <c r="C20" s="396" t="s">
        <v>300</v>
      </c>
      <c r="D20" s="397">
        <v>0</v>
      </c>
      <c r="E20" s="397">
        <v>0</v>
      </c>
      <c r="F20" s="397">
        <v>0</v>
      </c>
      <c r="G20" s="397">
        <v>0</v>
      </c>
      <c r="H20" s="397">
        <v>0</v>
      </c>
      <c r="I20" s="397">
        <v>0</v>
      </c>
      <c r="J20" s="397">
        <v>0</v>
      </c>
      <c r="K20" s="397">
        <v>0</v>
      </c>
      <c r="L20" s="397">
        <v>0</v>
      </c>
      <c r="M20" s="397">
        <v>0</v>
      </c>
      <c r="N20" s="398">
        <f t="shared" ref="N20:N27" si="9">SUM(D20:M20)</f>
        <v>0</v>
      </c>
      <c r="O20" s="383"/>
      <c r="P20" s="383"/>
    </row>
    <row r="21" ht="15.6" customHeight="1" hidden="1" spans="3:16" x14ac:dyDescent="0.25" outlineLevel="1" collapsed="1">
      <c r="C21" s="396" t="s">
        <v>301</v>
      </c>
      <c r="D21" s="397">
        <v>0</v>
      </c>
      <c r="E21" s="397">
        <v>0</v>
      </c>
      <c r="F21" s="397">
        <v>0</v>
      </c>
      <c r="G21" s="397">
        <v>0</v>
      </c>
      <c r="H21" s="397">
        <v>0</v>
      </c>
      <c r="I21" s="397">
        <v>0</v>
      </c>
      <c r="J21" s="397">
        <v>0</v>
      </c>
      <c r="K21" s="397">
        <v>0</v>
      </c>
      <c r="L21" s="397">
        <v>0</v>
      </c>
      <c r="M21" s="397">
        <v>0</v>
      </c>
      <c r="N21" s="398">
        <f t="shared" si="9"/>
        <v>0</v>
      </c>
      <c r="O21" s="383"/>
      <c r="P21" s="383"/>
    </row>
    <row r="22" ht="15.6" customHeight="1" hidden="1" spans="3:16" x14ac:dyDescent="0.25" outlineLevel="1" collapsed="1">
      <c r="C22" s="396" t="s">
        <v>302</v>
      </c>
      <c r="D22" s="397">
        <v>0</v>
      </c>
      <c r="E22" s="397">
        <v>0</v>
      </c>
      <c r="F22" s="397">
        <v>0</v>
      </c>
      <c r="G22" s="397">
        <v>0</v>
      </c>
      <c r="H22" s="397">
        <v>0</v>
      </c>
      <c r="I22" s="397">
        <v>0</v>
      </c>
      <c r="J22" s="397">
        <v>0</v>
      </c>
      <c r="K22" s="397">
        <v>0</v>
      </c>
      <c r="L22" s="397">
        <v>0</v>
      </c>
      <c r="M22" s="397">
        <v>0</v>
      </c>
      <c r="N22" s="398">
        <f t="shared" si="9"/>
        <v>0</v>
      </c>
      <c r="O22" s="383"/>
      <c r="P22" s="383"/>
    </row>
    <row r="23" ht="15.6" customHeight="1" hidden="1" spans="3:16" x14ac:dyDescent="0.25" outlineLevel="1" collapsed="1">
      <c r="C23" s="396" t="s">
        <v>303</v>
      </c>
      <c r="D23" s="397">
        <v>0</v>
      </c>
      <c r="E23" s="397">
        <v>0</v>
      </c>
      <c r="F23" s="397">
        <v>0</v>
      </c>
      <c r="G23" s="397">
        <v>0</v>
      </c>
      <c r="H23" s="397">
        <v>0</v>
      </c>
      <c r="I23" s="397">
        <v>0</v>
      </c>
      <c r="J23" s="397">
        <v>0</v>
      </c>
      <c r="K23" s="397">
        <v>0</v>
      </c>
      <c r="L23" s="397">
        <v>0</v>
      </c>
      <c r="M23" s="397">
        <v>0</v>
      </c>
      <c r="N23" s="398">
        <f t="shared" si="9"/>
        <v>0</v>
      </c>
      <c r="O23" s="383"/>
      <c r="P23" s="383"/>
    </row>
    <row r="24" ht="15.6" customHeight="1" hidden="1" spans="3:16" x14ac:dyDescent="0.25" outlineLevel="1" collapsed="1">
      <c r="C24" s="396" t="s">
        <v>304</v>
      </c>
      <c r="D24" s="397">
        <v>0</v>
      </c>
      <c r="E24" s="397">
        <v>0</v>
      </c>
      <c r="F24" s="397">
        <v>0</v>
      </c>
      <c r="G24" s="397">
        <v>0</v>
      </c>
      <c r="H24" s="397">
        <v>0</v>
      </c>
      <c r="I24" s="397">
        <v>0</v>
      </c>
      <c r="J24" s="397">
        <v>0</v>
      </c>
      <c r="K24" s="397">
        <v>0</v>
      </c>
      <c r="L24" s="397">
        <v>0</v>
      </c>
      <c r="M24" s="397">
        <v>0</v>
      </c>
      <c r="N24" s="398">
        <f t="shared" si="9"/>
        <v>0</v>
      </c>
      <c r="O24" s="383"/>
      <c r="P24" s="383"/>
    </row>
    <row r="25" ht="15.6" customHeight="1" hidden="1" spans="3:16" x14ac:dyDescent="0.25" outlineLevel="1" collapsed="1">
      <c r="C25" s="396" t="s">
        <v>305</v>
      </c>
      <c r="D25" s="397">
        <v>0</v>
      </c>
      <c r="E25" s="397">
        <v>0</v>
      </c>
      <c r="F25" s="397">
        <v>0</v>
      </c>
      <c r="G25" s="397">
        <v>0</v>
      </c>
      <c r="H25" s="397">
        <v>0</v>
      </c>
      <c r="I25" s="397">
        <v>0</v>
      </c>
      <c r="J25" s="397">
        <v>0</v>
      </c>
      <c r="K25" s="397">
        <v>0</v>
      </c>
      <c r="L25" s="397">
        <v>0</v>
      </c>
      <c r="M25" s="397">
        <v>0</v>
      </c>
      <c r="N25" s="398">
        <f t="shared" si="9"/>
        <v>0</v>
      </c>
      <c r="O25" s="383"/>
      <c r="P25" s="383"/>
    </row>
    <row r="26" ht="15.6" customHeight="1" hidden="1" spans="3:16" x14ac:dyDescent="0.25" outlineLevel="1" collapsed="1">
      <c r="C26" s="396" t="s">
        <v>306</v>
      </c>
      <c r="D26" s="397">
        <v>0</v>
      </c>
      <c r="E26" s="397">
        <v>0</v>
      </c>
      <c r="F26" s="397">
        <v>0</v>
      </c>
      <c r="G26" s="397">
        <v>0</v>
      </c>
      <c r="H26" s="397">
        <v>0</v>
      </c>
      <c r="I26" s="397">
        <v>0</v>
      </c>
      <c r="J26" s="397">
        <v>0</v>
      </c>
      <c r="K26" s="397">
        <v>0</v>
      </c>
      <c r="L26" s="397">
        <v>0</v>
      </c>
      <c r="M26" s="397">
        <v>0</v>
      </c>
      <c r="N26" s="398">
        <f t="shared" si="9"/>
        <v>0</v>
      </c>
      <c r="O26" s="383"/>
      <c r="P26" s="383"/>
    </row>
    <row r="27" ht="15.6" customHeight="1" hidden="1" spans="3:16" x14ac:dyDescent="0.25" outlineLevel="1" collapsed="1">
      <c r="C27" s="396" t="s">
        <v>307</v>
      </c>
      <c r="D27" s="397">
        <v>0</v>
      </c>
      <c r="E27" s="397">
        <v>0</v>
      </c>
      <c r="F27" s="397">
        <v>0</v>
      </c>
      <c r="G27" s="397">
        <v>0</v>
      </c>
      <c r="H27" s="397">
        <v>0</v>
      </c>
      <c r="I27" s="397">
        <v>0</v>
      </c>
      <c r="J27" s="397">
        <v>0</v>
      </c>
      <c r="K27" s="397">
        <v>0</v>
      </c>
      <c r="L27" s="397">
        <v>0</v>
      </c>
      <c r="M27" s="397">
        <v>0</v>
      </c>
      <c r="N27" s="398">
        <f t="shared" si="9"/>
        <v>0</v>
      </c>
      <c r="O27" s="383"/>
      <c r="P27" s="383"/>
    </row>
    <row r="28" spans="3:16" x14ac:dyDescent="0.25">
      <c r="C28" s="399">
        <v>0.03</v>
      </c>
      <c r="D28" s="400">
        <f t="shared" ref="D28:M28" si="10">+$C$28*SUM(D19:D27)</f>
        <v>0</v>
      </c>
      <c r="E28" s="400">
        <f t="shared" si="10"/>
        <v>0</v>
      </c>
      <c r="F28" s="400">
        <f t="shared" si="10"/>
        <v>0</v>
      </c>
      <c r="G28" s="400">
        <f t="shared" si="10"/>
        <v>0</v>
      </c>
      <c r="H28" s="400">
        <f t="shared" si="10"/>
        <v>0</v>
      </c>
      <c r="I28" s="400">
        <f t="shared" si="10"/>
        <v>0</v>
      </c>
      <c r="J28" s="400">
        <f t="shared" si="10"/>
        <v>0</v>
      </c>
      <c r="K28" s="400">
        <f t="shared" si="10"/>
        <v>0</v>
      </c>
      <c r="L28" s="400">
        <f t="shared" si="10"/>
        <v>0</v>
      </c>
      <c r="M28" s="400">
        <f t="shared" si="10"/>
        <v>0</v>
      </c>
      <c r="N28" s="401">
        <f t="shared" si="8"/>
        <v>0</v>
      </c>
      <c r="O28" s="405"/>
      <c r="P28" s="383"/>
    </row>
    <row r="29" ht="15" customHeight="1" spans="3:16" x14ac:dyDescent="0.25">
      <c r="C29" s="402" t="s">
        <v>293</v>
      </c>
      <c r="D29" s="397">
        <f t="shared" ref="D29:N29" si="11">+SUM(D19:D28)</f>
        <v>0</v>
      </c>
      <c r="E29" s="397">
        <f t="shared" si="11"/>
        <v>0</v>
      </c>
      <c r="F29" s="397">
        <f t="shared" si="11"/>
        <v>0</v>
      </c>
      <c r="G29" s="397">
        <f t="shared" si="11"/>
        <v>0</v>
      </c>
      <c r="H29" s="397">
        <f t="shared" si="11"/>
        <v>0</v>
      </c>
      <c r="I29" s="397">
        <f t="shared" si="11"/>
        <v>0</v>
      </c>
      <c r="J29" s="397">
        <f t="shared" si="11"/>
        <v>0</v>
      </c>
      <c r="K29" s="397">
        <f t="shared" si="11"/>
        <v>0</v>
      </c>
      <c r="L29" s="397">
        <f t="shared" si="11"/>
        <v>0</v>
      </c>
      <c r="M29" s="397">
        <f t="shared" si="11"/>
        <v>0</v>
      </c>
      <c r="N29" s="398">
        <f t="shared" si="11"/>
        <v>0</v>
      </c>
      <c r="O29" s="405"/>
      <c r="P29" s="383"/>
    </row>
    <row r="30" ht="15" customHeight="1" spans="3:16" x14ac:dyDescent="0.25">
      <c r="C30" s="396" t="s">
        <v>294</v>
      </c>
      <c r="D30" s="403">
        <f t="shared" ref="D30:N30" si="12">+D29/$P$4</f>
        <v>0</v>
      </c>
      <c r="E30" s="403">
        <f t="shared" si="12"/>
        <v>0</v>
      </c>
      <c r="F30" s="403">
        <f t="shared" si="12"/>
        <v>0</v>
      </c>
      <c r="G30" s="403">
        <f t="shared" si="12"/>
        <v>0</v>
      </c>
      <c r="H30" s="403">
        <f t="shared" si="12"/>
        <v>0</v>
      </c>
      <c r="I30" s="403">
        <f t="shared" si="12"/>
        <v>0</v>
      </c>
      <c r="J30" s="403">
        <f t="shared" si="12"/>
        <v>0</v>
      </c>
      <c r="K30" s="403">
        <f t="shared" si="12"/>
        <v>0</v>
      </c>
      <c r="L30" s="403">
        <f t="shared" si="12"/>
        <v>0</v>
      </c>
      <c r="M30" s="403">
        <f t="shared" si="12"/>
        <v>0</v>
      </c>
      <c r="N30" s="404">
        <f t="shared" si="12"/>
        <v>0</v>
      </c>
      <c r="O30" s="405"/>
      <c r="P30" s="383"/>
    </row>
    <row r="31" spans="3:16" x14ac:dyDescent="0.25">
      <c r="C31" s="406" t="str">
        <f>+UPPER("Interior Elements")</f>
        <v>INTERIOR ELEMENTS</v>
      </c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5"/>
      <c r="O31" s="383"/>
      <c r="P31" s="383"/>
    </row>
    <row r="32" spans="3:16" x14ac:dyDescent="0.25">
      <c r="C32" s="396" t="s">
        <v>308</v>
      </c>
      <c r="D32" s="397">
        <v>0</v>
      </c>
      <c r="E32" s="397">
        <v>0</v>
      </c>
      <c r="F32" s="397">
        <v>0</v>
      </c>
      <c r="G32" s="397">
        <v>0</v>
      </c>
      <c r="H32" s="407">
        <v>0</v>
      </c>
      <c r="I32" s="397">
        <v>0</v>
      </c>
      <c r="J32" s="397">
        <v>0</v>
      </c>
      <c r="K32" s="397">
        <v>0</v>
      </c>
      <c r="L32" s="397">
        <v>0</v>
      </c>
      <c r="M32" s="397">
        <v>0</v>
      </c>
      <c r="N32" s="398">
        <f>SUM(D32:M32)</f>
        <v>0</v>
      </c>
      <c r="O32" s="405"/>
      <c r="P32" s="405"/>
    </row>
    <row r="33" spans="3:16" x14ac:dyDescent="0.25">
      <c r="C33" s="396" t="s">
        <v>309</v>
      </c>
      <c r="D33" s="397">
        <v>0</v>
      </c>
      <c r="E33" s="397">
        <v>0</v>
      </c>
      <c r="F33" s="397">
        <v>0</v>
      </c>
      <c r="G33" s="397">
        <v>0</v>
      </c>
      <c r="H33" s="397">
        <v>0</v>
      </c>
      <c r="I33" s="397">
        <v>0</v>
      </c>
      <c r="J33" s="397">
        <v>0</v>
      </c>
      <c r="K33" s="397">
        <v>0</v>
      </c>
      <c r="L33" s="397">
        <v>0</v>
      </c>
      <c r="M33" s="397">
        <v>0</v>
      </c>
      <c r="N33" s="398">
        <f>SUM(D33:M33)</f>
        <v>0</v>
      </c>
      <c r="O33" s="405"/>
      <c r="P33" s="383"/>
    </row>
    <row r="34" spans="3:16" x14ac:dyDescent="0.25">
      <c r="C34" s="399">
        <v>0</v>
      </c>
      <c r="D34" s="400">
        <f t="shared" ref="D34:M34" si="13">+$C$34*SUM(D32:D33)</f>
        <v>0</v>
      </c>
      <c r="E34" s="400">
        <f t="shared" si="13"/>
        <v>0</v>
      </c>
      <c r="F34" s="400">
        <f t="shared" si="13"/>
        <v>0</v>
      </c>
      <c r="G34" s="400">
        <f t="shared" si="13"/>
        <v>0</v>
      </c>
      <c r="H34" s="400">
        <f t="shared" si="13"/>
        <v>0</v>
      </c>
      <c r="I34" s="400">
        <f t="shared" si="13"/>
        <v>0</v>
      </c>
      <c r="J34" s="400">
        <f t="shared" si="13"/>
        <v>0</v>
      </c>
      <c r="K34" s="400">
        <f t="shared" si="13"/>
        <v>0</v>
      </c>
      <c r="L34" s="400">
        <f t="shared" si="13"/>
        <v>0</v>
      </c>
      <c r="M34" s="400">
        <f t="shared" si="13"/>
        <v>0</v>
      </c>
      <c r="N34" s="401">
        <f>SUM(D34:M34)</f>
        <v>0</v>
      </c>
      <c r="O34" s="405"/>
      <c r="P34" s="383"/>
    </row>
    <row r="35" ht="15" customHeight="1" spans="3:16" x14ac:dyDescent="0.25">
      <c r="C35" s="396" t="s">
        <v>293</v>
      </c>
      <c r="D35" s="397">
        <f t="shared" ref="D35:N35" si="14">SUM(D32:D34)</f>
        <v>0</v>
      </c>
      <c r="E35" s="397">
        <f t="shared" si="14"/>
        <v>0</v>
      </c>
      <c r="F35" s="397">
        <f t="shared" si="14"/>
        <v>0</v>
      </c>
      <c r="G35" s="397">
        <f t="shared" si="14"/>
        <v>0</v>
      </c>
      <c r="H35" s="397">
        <f t="shared" si="14"/>
        <v>0</v>
      </c>
      <c r="I35" s="397">
        <f t="shared" si="14"/>
        <v>0</v>
      </c>
      <c r="J35" s="397">
        <f t="shared" si="14"/>
        <v>0</v>
      </c>
      <c r="K35" s="397">
        <f t="shared" si="14"/>
        <v>0</v>
      </c>
      <c r="L35" s="397">
        <f t="shared" si="14"/>
        <v>0</v>
      </c>
      <c r="M35" s="397">
        <f t="shared" si="14"/>
        <v>0</v>
      </c>
      <c r="N35" s="398">
        <f t="shared" si="14"/>
        <v>0</v>
      </c>
      <c r="O35" s="405"/>
      <c r="P35" s="383"/>
    </row>
    <row r="36" ht="15" customHeight="1" spans="3:16" x14ac:dyDescent="0.25">
      <c r="C36" s="396" t="s">
        <v>294</v>
      </c>
      <c r="D36" s="403">
        <f t="shared" ref="D36:N36" si="15">+D35/$P$4</f>
        <v>0</v>
      </c>
      <c r="E36" s="403">
        <f t="shared" si="15"/>
        <v>0</v>
      </c>
      <c r="F36" s="403">
        <f t="shared" si="15"/>
        <v>0</v>
      </c>
      <c r="G36" s="403">
        <f t="shared" si="15"/>
        <v>0</v>
      </c>
      <c r="H36" s="403">
        <f t="shared" si="15"/>
        <v>0</v>
      </c>
      <c r="I36" s="403">
        <f t="shared" si="15"/>
        <v>0</v>
      </c>
      <c r="J36" s="403">
        <f t="shared" si="15"/>
        <v>0</v>
      </c>
      <c r="K36" s="403">
        <f t="shared" si="15"/>
        <v>0</v>
      </c>
      <c r="L36" s="403">
        <f t="shared" si="15"/>
        <v>0</v>
      </c>
      <c r="M36" s="403">
        <f t="shared" si="15"/>
        <v>0</v>
      </c>
      <c r="N36" s="404">
        <f t="shared" si="15"/>
        <v>0</v>
      </c>
      <c r="O36" s="405"/>
      <c r="P36" s="383"/>
    </row>
    <row r="37" spans="3:16" x14ac:dyDescent="0.25">
      <c r="C37" s="408" t="s">
        <v>310</v>
      </c>
      <c r="D37" s="409">
        <f t="shared" ref="D37:N37" si="16">+D35+D29+D16+D10</f>
        <v>0</v>
      </c>
      <c r="E37" s="409">
        <f t="shared" si="16"/>
        <v>0</v>
      </c>
      <c r="F37" s="409">
        <f t="shared" si="16"/>
        <v>0</v>
      </c>
      <c r="G37" s="409">
        <f t="shared" si="16"/>
        <v>0</v>
      </c>
      <c r="H37" s="409">
        <f t="shared" si="16"/>
        <v>0</v>
      </c>
      <c r="I37" s="409">
        <f t="shared" si="16"/>
        <v>0</v>
      </c>
      <c r="J37" s="409">
        <f t="shared" si="16"/>
        <v>0</v>
      </c>
      <c r="K37" s="409">
        <f t="shared" si="16"/>
        <v>0</v>
      </c>
      <c r="L37" s="409">
        <f t="shared" si="16"/>
        <v>0</v>
      </c>
      <c r="M37" s="409">
        <f t="shared" si="16"/>
        <v>0</v>
      </c>
      <c r="N37" s="410">
        <f t="shared" si="16"/>
        <v>0</v>
      </c>
      <c r="O37" s="411"/>
      <c r="P37" s="412"/>
    </row>
    <row r="38" spans="3:16" x14ac:dyDescent="0.25">
      <c r="C38" s="413" t="s">
        <v>294</v>
      </c>
      <c r="D38" s="414">
        <f t="shared" ref="D38:N38" si="17">+D37/$P$4</f>
        <v>0</v>
      </c>
      <c r="E38" s="414">
        <f t="shared" si="17"/>
        <v>0</v>
      </c>
      <c r="F38" s="414">
        <f t="shared" si="17"/>
        <v>0</v>
      </c>
      <c r="G38" s="414">
        <f t="shared" si="17"/>
        <v>0</v>
      </c>
      <c r="H38" s="414">
        <f t="shared" si="17"/>
        <v>0</v>
      </c>
      <c r="I38" s="414">
        <f t="shared" si="17"/>
        <v>0</v>
      </c>
      <c r="J38" s="414">
        <f t="shared" si="17"/>
        <v>0</v>
      </c>
      <c r="K38" s="414">
        <f t="shared" si="17"/>
        <v>0</v>
      </c>
      <c r="L38" s="414">
        <f t="shared" si="17"/>
        <v>0</v>
      </c>
      <c r="M38" s="414">
        <f t="shared" si="17"/>
        <v>0</v>
      </c>
      <c r="N38" s="415">
        <f t="shared" si="17"/>
        <v>0</v>
      </c>
      <c r="O38" s="383"/>
      <c r="P38" s="416"/>
    </row>
    <row r="39" spans="3:14" x14ac:dyDescent="0.25">
      <c r="C39" s="417">
        <v>0</v>
      </c>
      <c r="D39" s="418">
        <f t="shared" ref="D39:M39" si="18">+D37*$C$39</f>
        <v>0</v>
      </c>
      <c r="E39" s="418">
        <f t="shared" si="18"/>
        <v>0</v>
      </c>
      <c r="F39" s="418">
        <f t="shared" si="18"/>
        <v>0</v>
      </c>
      <c r="G39" s="418">
        <f t="shared" si="18"/>
        <v>0</v>
      </c>
      <c r="H39" s="418">
        <f t="shared" si="18"/>
        <v>0</v>
      </c>
      <c r="I39" s="418">
        <f t="shared" si="18"/>
        <v>0</v>
      </c>
      <c r="J39" s="418">
        <f t="shared" si="18"/>
        <v>0</v>
      </c>
      <c r="K39" s="418">
        <f t="shared" si="18"/>
        <v>0</v>
      </c>
      <c r="L39" s="418">
        <f t="shared" si="18"/>
        <v>0</v>
      </c>
      <c r="M39" s="418">
        <f t="shared" si="18"/>
        <v>0</v>
      </c>
      <c r="N39" s="419">
        <f>+SUM(D39:M39)</f>
        <v>0</v>
      </c>
    </row>
    <row r="40" spans="3:14" x14ac:dyDescent="0.25">
      <c r="C40" s="420" t="s">
        <v>311</v>
      </c>
      <c r="D40" s="421">
        <f t="shared" ref="D40:M40" si="19">+D37+D39</f>
        <v>0</v>
      </c>
      <c r="E40" s="421">
        <f t="shared" si="19"/>
        <v>0</v>
      </c>
      <c r="F40" s="421">
        <f t="shared" si="19"/>
        <v>0</v>
      </c>
      <c r="G40" s="421">
        <f t="shared" si="19"/>
        <v>0</v>
      </c>
      <c r="H40" s="421">
        <f t="shared" si="19"/>
        <v>0</v>
      </c>
      <c r="I40" s="421">
        <f t="shared" si="19"/>
        <v>0</v>
      </c>
      <c r="J40" s="421">
        <f t="shared" si="19"/>
        <v>0</v>
      </c>
      <c r="K40" s="421">
        <f t="shared" si="19"/>
        <v>0</v>
      </c>
      <c r="L40" s="421">
        <f t="shared" si="19"/>
        <v>0</v>
      </c>
      <c r="M40" s="421">
        <f t="shared" si="19"/>
        <v>0</v>
      </c>
      <c r="N40" s="422">
        <f>+SUM(D40:M40)</f>
        <v>0</v>
      </c>
    </row>
    <row r="41" spans="1:2" x14ac:dyDescent="0.25">
      <c r="A41" s="382"/>
      <c r="B41" s="382"/>
    </row>
    <row r="42" spans="1:2" x14ac:dyDescent="0.25">
      <c r="A42" s="382"/>
      <c r="B42" s="382"/>
    </row>
    <row r="43" spans="1:2" x14ac:dyDescent="0.25">
      <c r="A43" s="382"/>
      <c r="B43" s="382"/>
    </row>
    <row r="44" spans="1:2" x14ac:dyDescent="0.25">
      <c r="A44" s="382"/>
      <c r="B44" s="382"/>
    </row>
    <row r="45" spans="1:2" x14ac:dyDescent="0.25">
      <c r="A45" s="382"/>
      <c r="B45" s="382"/>
    </row>
    <row r="48" spans="3:3" x14ac:dyDescent="0.25">
      <c r="C48" s="423"/>
    </row>
  </sheetData>
  <printOptions horizontalCentered="1"/>
  <pageMargins left="0.5" right="0.5" top="0.75" bottom="0.5" header="0.5" footer="0.5"/>
  <pageSetup paperSize="3" orientation="landscape" horizontalDpi="4294967295" verticalDpi="4294967295" scale="61" fitToWidth="1" fitToHeight="1" firstPageNumber="1" useFirstPageNumber="1" copies="1"/>
  <headerFooter>
    <oddHeader>&amp;R&amp;G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D9D9"/>
    <pageSetUpPr fitToPage="1"/>
  </sheetPr>
  <dimension ref="A1:AI70"/>
  <sheetViews>
    <sheetView workbookViewId="0" showGridLines="0" zoomScale="100" zoomScaleNormal="100" view="pageBreakPreview">
      <selection activeCell="I46" sqref="I46"/>
    </sheetView>
  </sheetViews>
  <sheetFormatPr defaultRowHeight="15" outlineLevelRow="1" outlineLevelCol="0" x14ac:dyDescent="0.25"/>
  <cols>
    <col min="1" max="2" width="3.140625" customWidth="1"/>
    <col min="3" max="3" width="22.85546875" hidden="1" customWidth="1"/>
    <col min="4" max="4" width="10.85546875" hidden="1" customWidth="1"/>
    <col min="5" max="5" width="9.42578125" hidden="1" customWidth="1"/>
    <col min="6" max="6" width="16.140625" customWidth="1"/>
    <col min="7" max="22" width="12.7109375" customWidth="1"/>
    <col min="23" max="23" width="3.140625" customWidth="1"/>
    <col min="24" max="35" width="9.28515625" customWidth="1"/>
  </cols>
  <sheetData>
    <row r="1" ht="15" customHeight="1" spans="6:22" x14ac:dyDescent="0.25">
      <c r="F1" s="262"/>
      <c r="G1" s="262">
        <v>1</v>
      </c>
      <c r="H1" s="262"/>
      <c r="I1" s="263">
        <v>2</v>
      </c>
      <c r="J1" s="262">
        <v>3</v>
      </c>
      <c r="K1" s="262">
        <v>4</v>
      </c>
      <c r="L1" s="262">
        <v>5</v>
      </c>
      <c r="M1" s="262"/>
      <c r="N1" s="262">
        <v>6</v>
      </c>
      <c r="O1" s="262">
        <v>7</v>
      </c>
      <c r="P1" s="262"/>
      <c r="Q1" s="262">
        <v>8</v>
      </c>
      <c r="R1" s="262">
        <v>9</v>
      </c>
      <c r="S1" s="262"/>
      <c r="T1" s="262">
        <v>10</v>
      </c>
      <c r="U1" s="262">
        <v>11</v>
      </c>
      <c r="V1" s="262"/>
    </row>
    <row r="2" ht="15" customHeight="1" x14ac:dyDescent="0.25"/>
    <row r="3" ht="15" customHeight="1" spans="2:23" x14ac:dyDescent="0.25">
      <c r="B3" s="264"/>
      <c r="C3" s="265"/>
      <c r="D3" s="265"/>
      <c r="E3" s="265"/>
      <c r="F3" s="265" t="str">
        <f>UPPER('Cash Flow'!D4)&amp;" - MARKET LEASING ASSUMPTIONS"</f>
        <v>DISTRICT NORTH - MARKET LEASING ASSUMPTIONS</v>
      </c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6"/>
      <c r="W3" s="262"/>
    </row>
    <row r="4" ht="30" customHeight="1" spans="2:22" x14ac:dyDescent="0.25">
      <c r="B4" s="264"/>
      <c r="C4" s="267"/>
      <c r="D4" s="268"/>
      <c r="E4" s="268"/>
      <c r="F4" s="269" t="s">
        <v>175</v>
      </c>
      <c r="G4" s="270" t="s">
        <v>176</v>
      </c>
      <c r="H4" s="270" t="s">
        <v>177</v>
      </c>
      <c r="I4" s="271" t="s">
        <v>178</v>
      </c>
      <c r="J4" s="272" t="s">
        <v>179</v>
      </c>
      <c r="K4" s="273" t="s">
        <v>180</v>
      </c>
      <c r="L4" s="274" t="s">
        <v>181</v>
      </c>
      <c r="M4" s="273" t="s">
        <v>182</v>
      </c>
      <c r="N4" s="269" t="s">
        <v>183</v>
      </c>
      <c r="O4" s="274" t="s">
        <v>184</v>
      </c>
      <c r="P4" s="273" t="s">
        <v>185</v>
      </c>
      <c r="Q4" s="274" t="s">
        <v>186</v>
      </c>
      <c r="R4" s="274" t="s">
        <v>187</v>
      </c>
      <c r="S4" s="273" t="s">
        <v>188</v>
      </c>
      <c r="T4" s="274" t="s">
        <v>189</v>
      </c>
      <c r="U4" s="274" t="s">
        <v>190</v>
      </c>
      <c r="V4" s="273" t="s">
        <v>191</v>
      </c>
    </row>
    <row r="5" ht="15" customHeight="1" spans="2:22" x14ac:dyDescent="0.25">
      <c r="B5" s="264"/>
      <c r="C5" s="275"/>
      <c r="D5" s="276"/>
      <c r="E5" s="277"/>
      <c r="F5" s="278" t="s">
        <v>192</v>
      </c>
      <c r="G5" s="279">
        <f>IFERROR(INDEX($G$21:$V$70,MATCH(G$1,$A$21:$A$70,0),MATCH($F5,$G$22:$V$22,0)),"")</f>
        <v>18.5</v>
      </c>
      <c r="H5" s="278" t="s">
        <v>193</v>
      </c>
      <c r="I5" s="280">
        <f t="shared" ref="I5:L15" si="0">IFERROR(INDEX($G$21:$V$70,MATCH(I$1,$A$21:$A$70,0),MATCH($F5,$G$22:$V$22,0)),"")</f>
        <v>0.75</v>
      </c>
      <c r="J5" s="281">
        <v>0.04</v>
      </c>
      <c r="K5" s="282">
        <v>86</v>
      </c>
      <c r="L5" s="283">
        <f>IFERROR(INDEX($G$21:$V$70,MATCH(L$1,$A$21:$A$70,0),MATCH($F5,$G$22:$V$22,0)),"")</f>
        <v>9</v>
      </c>
      <c r="M5" s="284">
        <f>IFERROR(L5*(1-I5),"")</f>
        <v>2.25</v>
      </c>
      <c r="N5" s="285">
        <f t="shared" ref="N5:O15" si="1">IFERROR(INDEX($G$21:$V$70,MATCH(N$1,$A$21:$A$70,0),MATCH($F5,$G$22:$V$22,0)),"")</f>
        <v>6</v>
      </c>
      <c r="O5" s="283">
        <f t="shared" si="1"/>
        <v>4</v>
      </c>
      <c r="P5" s="284">
        <f>IFERROR((N5*(1-$I5))+(O5*$I5),"")</f>
        <v>4.5</v>
      </c>
      <c r="Q5" s="286">
        <f t="shared" ref="Q5:R15" si="2">IFERROR(INDEX($G$21:$V$70,MATCH(Q$1,$A$21:$A$70,0),MATCH($F5,$G$22:$V$22,0)),"")</f>
        <v>5</v>
      </c>
      <c r="R5" s="286">
        <f t="shared" si="2"/>
        <v>2.5</v>
      </c>
      <c r="S5" s="287">
        <f>IFERROR((Q5*(1-$I5))+(R5*$I5),"")</f>
        <v>3.125</v>
      </c>
      <c r="T5" s="288">
        <f t="shared" ref="T5:U15" si="3">IFERROR(INDEX($G$21:$V$70,MATCH(T$1,$A$21:$A$70,0),MATCH($F5,$G$22:$V$22,0)),"")</f>
        <v>0.06</v>
      </c>
      <c r="U5" s="288">
        <f t="shared" si="3"/>
        <v>0.04</v>
      </c>
      <c r="V5" s="289">
        <f>IFERROR((T5*(1-$I5))+(U5*$I5),"")</f>
        <v>0.045</v>
      </c>
    </row>
    <row r="6" ht="15" customHeight="1" hidden="1" spans="2:22" x14ac:dyDescent="0.25" outlineLevel="1" collapsed="1">
      <c r="B6" s="264"/>
      <c r="C6" s="290"/>
      <c r="D6" s="290"/>
      <c r="E6" s="290"/>
      <c r="F6" s="291"/>
      <c r="G6" s="292">
        <f t="shared" ref="G6:G15" si="4">IFERROR(INDEX($G$21:$V$70,MATCH(G$1,$A$21:$A$70,0),MATCH($F6,$G$22:$V$22,0)),"")</f>
      </c>
      <c r="H6" s="293"/>
      <c r="I6" s="294">
        <f t="shared" si="0"/>
      </c>
      <c r="J6" s="295">
        <f t="shared" si="0"/>
      </c>
      <c r="K6" s="296">
        <f t="shared" si="0"/>
      </c>
      <c r="L6" s="297">
        <f t="shared" si="0"/>
      </c>
      <c r="M6" s="298">
        <f t="shared" ref="M6" si="5">IFERROR(L6*(1-I6),"")</f>
      </c>
      <c r="N6" s="299">
        <f t="shared" si="1"/>
      </c>
      <c r="O6" s="297">
        <f t="shared" si="1"/>
      </c>
      <c r="P6" s="298">
        <f t="shared" ref="P6" si="6">IFERROR((N6*(1-$I6))+(O6*$I6),"")</f>
      </c>
      <c r="Q6" s="300">
        <f t="shared" si="2"/>
      </c>
      <c r="R6" s="300">
        <f t="shared" si="2"/>
      </c>
      <c r="S6" s="301">
        <f t="shared" ref="S6" si="7">IFERROR((Q6*(1-$I6))+(R6*$I6),"")</f>
      </c>
      <c r="T6" s="302">
        <f t="shared" si="3"/>
      </c>
      <c r="U6" s="302">
        <f t="shared" si="3"/>
      </c>
      <c r="V6" s="303">
        <f t="shared" ref="V6" si="8">IFERROR((T6*(1-$I6))+(U6*$I6),"")</f>
      </c>
    </row>
    <row r="7" ht="15" customHeight="1" hidden="1" spans="6:22" x14ac:dyDescent="0.25" outlineLevel="1" collapsed="1">
      <c r="F7" s="291"/>
      <c r="G7" s="292">
        <f t="shared" si="4"/>
      </c>
      <c r="H7" s="293"/>
      <c r="I7" s="294">
        <f t="shared" si="0"/>
      </c>
      <c r="J7" s="295">
        <f t="shared" si="0"/>
      </c>
      <c r="K7" s="296">
        <f t="shared" si="0"/>
      </c>
      <c r="L7" s="297">
        <f t="shared" si="0"/>
      </c>
      <c r="M7" s="298">
        <f t="shared" ref="M7:M15" si="9">IFERROR(L7*(1-I7),"")</f>
      </c>
      <c r="N7" s="299">
        <f t="shared" si="1"/>
      </c>
      <c r="O7" s="297">
        <f t="shared" si="1"/>
      </c>
      <c r="P7" s="298">
        <f t="shared" ref="P7:P15" si="10">IFERROR((N7*(1-$I7))+(O7*$I7),"")</f>
      </c>
      <c r="Q7" s="300">
        <f t="shared" si="2"/>
      </c>
      <c r="R7" s="300">
        <f t="shared" si="2"/>
      </c>
      <c r="S7" s="301">
        <f t="shared" ref="S7:S15" si="11">IFERROR((Q7*(1-$I7))+(R7*$I7),"")</f>
      </c>
      <c r="T7" s="302">
        <f t="shared" si="3"/>
      </c>
      <c r="U7" s="302">
        <f t="shared" si="3"/>
      </c>
      <c r="V7" s="303">
        <f t="shared" ref="V7:V15" si="12">IFERROR((T7*(1-$I7))+(U7*$I7),"")</f>
      </c>
    </row>
    <row r="8" ht="15" customHeight="1" hidden="1" spans="6:22" x14ac:dyDescent="0.25" outlineLevel="1" collapsed="1">
      <c r="F8" s="291"/>
      <c r="G8" s="292">
        <f t="shared" si="4"/>
      </c>
      <c r="H8" s="293"/>
      <c r="I8" s="294">
        <f t="shared" si="0"/>
      </c>
      <c r="J8" s="295">
        <f t="shared" si="0"/>
      </c>
      <c r="K8" s="296">
        <f t="shared" si="0"/>
      </c>
      <c r="L8" s="297">
        <f t="shared" si="0"/>
      </c>
      <c r="M8" s="298">
        <f t="shared" si="9"/>
      </c>
      <c r="N8" s="299">
        <f t="shared" si="1"/>
      </c>
      <c r="O8" s="297">
        <f t="shared" si="1"/>
      </c>
      <c r="P8" s="298">
        <f t="shared" si="10"/>
      </c>
      <c r="Q8" s="300">
        <f t="shared" si="2"/>
      </c>
      <c r="R8" s="300">
        <f t="shared" si="2"/>
      </c>
      <c r="S8" s="301">
        <f t="shared" si="11"/>
      </c>
      <c r="T8" s="302">
        <f t="shared" si="3"/>
      </c>
      <c r="U8" s="302">
        <f t="shared" si="3"/>
      </c>
      <c r="V8" s="303">
        <f t="shared" si="12"/>
      </c>
    </row>
    <row r="9" ht="15" customHeight="1" hidden="1" spans="6:22" x14ac:dyDescent="0.25" outlineLevel="1" collapsed="1">
      <c r="F9" s="291"/>
      <c r="G9" s="292">
        <f t="shared" si="4"/>
      </c>
      <c r="H9" s="293"/>
      <c r="I9" s="294">
        <f t="shared" si="0"/>
      </c>
      <c r="J9" s="295">
        <f t="shared" si="0"/>
      </c>
      <c r="K9" s="296">
        <f t="shared" si="0"/>
      </c>
      <c r="L9" s="297">
        <f t="shared" si="0"/>
      </c>
      <c r="M9" s="298">
        <f t="shared" si="9"/>
      </c>
      <c r="N9" s="299">
        <f t="shared" si="1"/>
      </c>
      <c r="O9" s="297">
        <f t="shared" si="1"/>
      </c>
      <c r="P9" s="298">
        <f t="shared" si="10"/>
      </c>
      <c r="Q9" s="300">
        <f t="shared" si="2"/>
      </c>
      <c r="R9" s="300">
        <f t="shared" si="2"/>
      </c>
      <c r="S9" s="301">
        <f t="shared" si="11"/>
      </c>
      <c r="T9" s="302">
        <f t="shared" si="3"/>
      </c>
      <c r="U9" s="302">
        <f t="shared" si="3"/>
      </c>
      <c r="V9" s="303">
        <f t="shared" si="12"/>
      </c>
    </row>
    <row r="10" ht="15" customHeight="1" hidden="1" spans="6:22" x14ac:dyDescent="0.25" outlineLevel="1" collapsed="1">
      <c r="F10" s="291"/>
      <c r="G10" s="292">
        <f t="shared" si="4"/>
      </c>
      <c r="H10" s="293"/>
      <c r="I10" s="294">
        <f t="shared" si="0"/>
      </c>
      <c r="J10" s="295">
        <f t="shared" si="0"/>
      </c>
      <c r="K10" s="296">
        <f t="shared" si="0"/>
      </c>
      <c r="L10" s="297">
        <f t="shared" si="0"/>
      </c>
      <c r="M10" s="298">
        <f t="shared" si="9"/>
      </c>
      <c r="N10" s="299">
        <f t="shared" si="1"/>
      </c>
      <c r="O10" s="297">
        <f t="shared" si="1"/>
      </c>
      <c r="P10" s="298">
        <f t="shared" si="10"/>
      </c>
      <c r="Q10" s="300">
        <f t="shared" si="2"/>
      </c>
      <c r="R10" s="300">
        <f t="shared" si="2"/>
      </c>
      <c r="S10" s="301">
        <f t="shared" si="11"/>
      </c>
      <c r="T10" s="302">
        <f t="shared" si="3"/>
      </c>
      <c r="U10" s="302">
        <f t="shared" si="3"/>
      </c>
      <c r="V10" s="303">
        <f t="shared" si="12"/>
      </c>
    </row>
    <row r="11" ht="15" customHeight="1" hidden="1" spans="6:22" x14ac:dyDescent="0.25" outlineLevel="1" collapsed="1">
      <c r="F11" s="291"/>
      <c r="G11" s="292">
        <f t="shared" si="4"/>
      </c>
      <c r="H11" s="293"/>
      <c r="I11" s="294">
        <f t="shared" si="0"/>
      </c>
      <c r="J11" s="295">
        <f t="shared" si="0"/>
      </c>
      <c r="K11" s="296">
        <f t="shared" si="0"/>
      </c>
      <c r="L11" s="297">
        <f t="shared" si="0"/>
      </c>
      <c r="M11" s="298">
        <f t="shared" si="9"/>
      </c>
      <c r="N11" s="299">
        <f t="shared" si="1"/>
      </c>
      <c r="O11" s="297">
        <f t="shared" si="1"/>
      </c>
      <c r="P11" s="298">
        <f t="shared" si="10"/>
      </c>
      <c r="Q11" s="300">
        <f t="shared" si="2"/>
      </c>
      <c r="R11" s="300">
        <f t="shared" si="2"/>
      </c>
      <c r="S11" s="301">
        <f t="shared" si="11"/>
      </c>
      <c r="T11" s="302">
        <f t="shared" si="3"/>
      </c>
      <c r="U11" s="302">
        <f t="shared" si="3"/>
      </c>
      <c r="V11" s="303">
        <f t="shared" si="12"/>
      </c>
    </row>
    <row r="12" ht="15" customHeight="1" hidden="1" spans="6:22" x14ac:dyDescent="0.25" outlineLevel="1" collapsed="1">
      <c r="F12" s="291"/>
      <c r="G12" s="292">
        <f t="shared" si="4"/>
      </c>
      <c r="H12" s="293"/>
      <c r="I12" s="294">
        <f t="shared" si="0"/>
      </c>
      <c r="J12" s="295">
        <f t="shared" si="0"/>
      </c>
      <c r="K12" s="296">
        <f t="shared" si="0"/>
      </c>
      <c r="L12" s="297">
        <f t="shared" si="0"/>
      </c>
      <c r="M12" s="298">
        <f t="shared" si="9"/>
      </c>
      <c r="N12" s="299">
        <f t="shared" si="1"/>
      </c>
      <c r="O12" s="297">
        <f t="shared" si="1"/>
      </c>
      <c r="P12" s="298">
        <f t="shared" si="10"/>
      </c>
      <c r="Q12" s="300">
        <f t="shared" si="2"/>
      </c>
      <c r="R12" s="300">
        <f t="shared" si="2"/>
      </c>
      <c r="S12" s="301">
        <f t="shared" si="11"/>
      </c>
      <c r="T12" s="302">
        <f t="shared" si="3"/>
      </c>
      <c r="U12" s="302">
        <f t="shared" si="3"/>
      </c>
      <c r="V12" s="303">
        <f t="shared" si="12"/>
      </c>
    </row>
    <row r="13" ht="15" customHeight="1" hidden="1" spans="6:22" x14ac:dyDescent="0.25" outlineLevel="1" collapsed="1">
      <c r="F13" s="291"/>
      <c r="G13" s="292">
        <f t="shared" si="4"/>
      </c>
      <c r="H13" s="293"/>
      <c r="I13" s="294">
        <f t="shared" si="0"/>
      </c>
      <c r="J13" s="295">
        <f t="shared" si="0"/>
      </c>
      <c r="K13" s="296">
        <f t="shared" si="0"/>
      </c>
      <c r="L13" s="297">
        <f t="shared" si="0"/>
      </c>
      <c r="M13" s="298">
        <f t="shared" si="9"/>
      </c>
      <c r="N13" s="299">
        <f t="shared" si="1"/>
      </c>
      <c r="O13" s="297">
        <f t="shared" si="1"/>
      </c>
      <c r="P13" s="298">
        <f t="shared" si="10"/>
      </c>
      <c r="Q13" s="300">
        <f t="shared" si="2"/>
      </c>
      <c r="R13" s="300">
        <f t="shared" si="2"/>
      </c>
      <c r="S13" s="301">
        <f t="shared" si="11"/>
      </c>
      <c r="T13" s="302">
        <f t="shared" si="3"/>
      </c>
      <c r="U13" s="302">
        <f t="shared" si="3"/>
      </c>
      <c r="V13" s="303">
        <f t="shared" si="12"/>
      </c>
    </row>
    <row r="14" ht="15" customHeight="1" hidden="1" spans="6:22" x14ac:dyDescent="0.25" outlineLevel="1" collapsed="1">
      <c r="F14" s="291"/>
      <c r="G14" s="292">
        <f t="shared" si="4"/>
      </c>
      <c r="H14" s="293"/>
      <c r="I14" s="294">
        <f t="shared" si="0"/>
      </c>
      <c r="J14" s="295">
        <f t="shared" si="0"/>
      </c>
      <c r="K14" s="296">
        <f t="shared" si="0"/>
      </c>
      <c r="L14" s="297">
        <f t="shared" si="0"/>
      </c>
      <c r="M14" s="298">
        <f t="shared" si="9"/>
      </c>
      <c r="N14" s="299">
        <f t="shared" si="1"/>
      </c>
      <c r="O14" s="297">
        <f t="shared" si="1"/>
      </c>
      <c r="P14" s="298">
        <f t="shared" si="10"/>
      </c>
      <c r="Q14" s="300">
        <f t="shared" si="2"/>
      </c>
      <c r="R14" s="300">
        <f t="shared" si="2"/>
      </c>
      <c r="S14" s="301">
        <f t="shared" si="11"/>
      </c>
      <c r="T14" s="302">
        <f t="shared" si="3"/>
      </c>
      <c r="U14" s="302">
        <f t="shared" si="3"/>
      </c>
      <c r="V14" s="303">
        <f t="shared" si="12"/>
      </c>
    </row>
    <row r="15" ht="15" customHeight="1" spans="6:22" x14ac:dyDescent="0.25">
      <c r="F15" s="304"/>
      <c r="G15" s="305">
        <f t="shared" si="4"/>
      </c>
      <c r="H15" s="306"/>
      <c r="I15" s="307">
        <f t="shared" si="0"/>
      </c>
      <c r="J15" s="308">
        <f t="shared" si="0"/>
      </c>
      <c r="K15" s="309">
        <f t="shared" si="0"/>
      </c>
      <c r="L15" s="310">
        <f t="shared" si="0"/>
      </c>
      <c r="M15" s="311">
        <f t="shared" si="9"/>
      </c>
      <c r="N15" s="312">
        <f t="shared" si="1"/>
      </c>
      <c r="O15" s="310">
        <f t="shared" si="1"/>
      </c>
      <c r="P15" s="311">
        <f t="shared" si="10"/>
      </c>
      <c r="Q15" s="313">
        <f t="shared" si="2"/>
      </c>
      <c r="R15" s="313">
        <f t="shared" si="2"/>
      </c>
      <c r="S15" s="314">
        <f t="shared" si="11"/>
      </c>
      <c r="T15" s="315">
        <f t="shared" si="3"/>
      </c>
      <c r="U15" s="315">
        <f t="shared" si="3"/>
      </c>
      <c r="V15" s="316">
        <f t="shared" si="12"/>
      </c>
    </row>
    <row r="18" spans="6:6" x14ac:dyDescent="0.25">
      <c r="F18" s="317" t="s">
        <v>194</v>
      </c>
    </row>
    <row r="19" spans="6:35" x14ac:dyDescent="0.25">
      <c r="F19" s="318"/>
      <c r="G19" s="318"/>
      <c r="H19" s="318"/>
      <c r="I19" s="318"/>
      <c r="J19" s="318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</row>
    <row r="20" spans="6:35" x14ac:dyDescent="0.25">
      <c r="F20" s="319"/>
      <c r="G20" s="319"/>
      <c r="H20" s="319"/>
      <c r="I20" s="319"/>
      <c r="J20" s="319"/>
    </row>
    <row r="21" spans="6:35" x14ac:dyDescent="0.25">
      <c r="F21" s="320">
        <v>46188.581999999995</v>
      </c>
      <c r="G21" s="319"/>
      <c r="H21" s="319"/>
      <c r="I21" s="319"/>
      <c r="J21" s="319"/>
    </row>
    <row r="22" spans="6:35" x14ac:dyDescent="0.25">
      <c r="F22" s="319"/>
      <c r="G22" s="319"/>
      <c r="H22" s="319"/>
      <c r="I22" s="319"/>
      <c r="J22" s="319"/>
      <c r="V22" s="319"/>
    </row>
    <row r="23" spans="6:35" x14ac:dyDescent="0.25">
      <c r="F23" s="319" t="s">
        <v>195</v>
      </c>
      <c r="G23" s="319"/>
      <c r="H23" s="319"/>
      <c r="I23" s="319"/>
      <c r="J23" s="319"/>
      <c r="V23" s="319"/>
    </row>
    <row r="24" spans="1:35" x14ac:dyDescent="0.25">
      <c r="A24">
        <v>2</v>
      </c>
      <c r="F24" s="319" t="s">
        <v>196</v>
      </c>
      <c r="G24" s="319"/>
      <c r="H24" s="319"/>
      <c r="I24" s="319"/>
      <c r="J24" s="319"/>
      <c r="V24" s="319"/>
    </row>
    <row r="25" spans="6:35" x14ac:dyDescent="0.25">
      <c r="F25" s="319" t="s">
        <v>68</v>
      </c>
      <c r="G25" s="319"/>
      <c r="H25" s="319"/>
      <c r="I25" s="319"/>
      <c r="J25" s="319"/>
      <c r="V25" s="319"/>
    </row>
    <row r="26" spans="1:35" x14ac:dyDescent="0.25">
      <c r="A26">
        <v>5</v>
      </c>
      <c r="F26" s="319" t="s">
        <v>197</v>
      </c>
      <c r="G26" s="319"/>
      <c r="H26" s="319"/>
      <c r="I26" s="319"/>
      <c r="J26" s="319"/>
      <c r="V26" s="319"/>
    </row>
    <row r="27" spans="6:35" x14ac:dyDescent="0.25">
      <c r="F27" s="319" t="s">
        <v>198</v>
      </c>
      <c r="G27" s="319"/>
      <c r="H27" s="319"/>
      <c r="I27" s="319"/>
      <c r="J27" s="319"/>
      <c r="V27" s="319"/>
    </row>
    <row r="28" spans="6:35" x14ac:dyDescent="0.25">
      <c r="F28" s="319" t="s">
        <v>68</v>
      </c>
      <c r="G28" s="319"/>
      <c r="H28" s="319"/>
      <c r="I28" s="319"/>
      <c r="J28" s="319"/>
      <c r="V28" s="319"/>
    </row>
    <row r="29" spans="6:35" x14ac:dyDescent="0.25">
      <c r="F29" s="319" t="s">
        <v>199</v>
      </c>
      <c r="G29" s="319"/>
      <c r="H29" s="319"/>
      <c r="I29" s="319"/>
      <c r="J29" s="319"/>
      <c r="V29" s="319"/>
    </row>
    <row r="30" spans="1:35" x14ac:dyDescent="0.25">
      <c r="A30">
        <v>1</v>
      </c>
      <c r="F30" s="319" t="s">
        <v>200</v>
      </c>
      <c r="G30" s="319"/>
      <c r="H30" s="319"/>
      <c r="I30" s="319"/>
      <c r="J30" s="319"/>
      <c r="V30" s="319"/>
    </row>
    <row r="31" spans="6:35" x14ac:dyDescent="0.25">
      <c r="F31" s="319" t="s">
        <v>201</v>
      </c>
      <c r="G31" s="319"/>
      <c r="H31" s="319"/>
      <c r="I31" s="319"/>
      <c r="J31" s="319"/>
      <c r="V31" s="319"/>
    </row>
    <row r="32" spans="6:35" x14ac:dyDescent="0.25">
      <c r="F32" s="319" t="s">
        <v>202</v>
      </c>
      <c r="G32" s="319"/>
      <c r="H32" s="319"/>
      <c r="I32" s="319"/>
      <c r="J32" s="319"/>
      <c r="V32" s="319"/>
    </row>
    <row r="33" spans="6:35" x14ac:dyDescent="0.25">
      <c r="F33" s="319" t="s">
        <v>68</v>
      </c>
      <c r="G33" s="319"/>
      <c r="H33" s="319"/>
      <c r="I33" s="319"/>
      <c r="J33" s="319"/>
      <c r="V33" s="319"/>
    </row>
    <row r="34" spans="6:35" x14ac:dyDescent="0.25">
      <c r="F34" s="319" t="s">
        <v>203</v>
      </c>
      <c r="G34" s="319"/>
      <c r="H34" s="319"/>
      <c r="I34" s="319"/>
      <c r="J34" s="319"/>
      <c r="V34" s="319"/>
    </row>
    <row r="35" spans="6:35" x14ac:dyDescent="0.25">
      <c r="F35" s="319" t="s">
        <v>204</v>
      </c>
      <c r="G35" s="319"/>
      <c r="H35" s="319"/>
      <c r="I35" s="319"/>
      <c r="J35" s="319"/>
      <c r="V35" s="319"/>
    </row>
    <row r="36" spans="6:35" x14ac:dyDescent="0.25">
      <c r="F36" s="319" t="s">
        <v>205</v>
      </c>
      <c r="G36" s="319"/>
      <c r="H36" s="319"/>
      <c r="I36" s="319"/>
      <c r="J36" s="319"/>
      <c r="V36" s="319"/>
    </row>
    <row r="37" spans="6:35" x14ac:dyDescent="0.25">
      <c r="F37" s="319" t="s">
        <v>206</v>
      </c>
      <c r="G37" s="319"/>
      <c r="H37" s="319"/>
      <c r="I37" s="319"/>
      <c r="J37" s="319"/>
      <c r="V37" s="319"/>
    </row>
    <row r="38" spans="6:35" x14ac:dyDescent="0.25">
      <c r="F38" s="319" t="s">
        <v>68</v>
      </c>
      <c r="G38" s="319"/>
      <c r="H38" s="319"/>
      <c r="I38" s="319"/>
      <c r="J38" s="319"/>
      <c r="V38" s="319"/>
    </row>
    <row r="39" spans="6:35" x14ac:dyDescent="0.25">
      <c r="F39" s="319" t="s">
        <v>207</v>
      </c>
      <c r="G39" s="319"/>
      <c r="H39" s="319"/>
      <c r="I39" s="319"/>
      <c r="J39" s="319"/>
      <c r="V39" s="319"/>
    </row>
    <row r="40" spans="1:35" x14ac:dyDescent="0.25">
      <c r="A40">
        <v>3</v>
      </c>
      <c r="F40" s="319" t="s">
        <v>208</v>
      </c>
      <c r="G40" s="319"/>
      <c r="H40" s="319"/>
      <c r="I40" s="321"/>
      <c r="J40" s="321"/>
      <c r="V40" s="319"/>
    </row>
    <row r="41" spans="6:35" x14ac:dyDescent="0.25">
      <c r="F41" s="319" t="s">
        <v>209</v>
      </c>
      <c r="G41" s="319"/>
      <c r="H41" s="319"/>
      <c r="I41" s="319"/>
      <c r="J41" s="319"/>
      <c r="V41" s="319"/>
    </row>
    <row r="42" spans="6:35" x14ac:dyDescent="0.25">
      <c r="F42" s="319" t="s">
        <v>68</v>
      </c>
      <c r="G42" s="319"/>
      <c r="H42" s="319"/>
      <c r="I42" s="319"/>
      <c r="J42" s="319"/>
      <c r="V42" s="319"/>
    </row>
    <row r="43" spans="1:35" x14ac:dyDescent="0.25">
      <c r="A43">
        <v>6</v>
      </c>
      <c r="F43" s="319" t="s">
        <v>210</v>
      </c>
      <c r="G43" s="319"/>
      <c r="H43" s="319"/>
      <c r="I43" s="319"/>
      <c r="J43" s="319"/>
      <c r="V43" s="319"/>
    </row>
    <row r="44" spans="1:35" x14ac:dyDescent="0.25">
      <c r="A44">
        <v>7</v>
      </c>
      <c r="F44" s="319" t="s">
        <v>211</v>
      </c>
      <c r="G44" s="319"/>
      <c r="H44" s="319"/>
      <c r="I44" s="319"/>
      <c r="J44" s="319"/>
      <c r="V44" s="319"/>
    </row>
    <row r="45" spans="6:35" x14ac:dyDescent="0.25">
      <c r="F45" s="319" t="s">
        <v>212</v>
      </c>
      <c r="G45" s="319"/>
      <c r="H45" s="319"/>
      <c r="I45" s="319"/>
      <c r="J45" s="319"/>
      <c r="V45" s="319"/>
    </row>
    <row r="46" spans="6:35" x14ac:dyDescent="0.25">
      <c r="F46" s="319" t="s">
        <v>68</v>
      </c>
      <c r="G46" s="319"/>
      <c r="H46" s="319"/>
      <c r="I46" s="319"/>
      <c r="J46" s="319"/>
      <c r="V46" s="319"/>
    </row>
    <row r="47" spans="6:35" x14ac:dyDescent="0.25">
      <c r="F47" s="319" t="s">
        <v>177</v>
      </c>
      <c r="G47" s="319"/>
      <c r="H47" s="319"/>
      <c r="I47" s="319"/>
      <c r="J47" s="319"/>
      <c r="V47" s="319"/>
    </row>
    <row r="48" spans="6:35" x14ac:dyDescent="0.25">
      <c r="F48" s="319" t="s">
        <v>213</v>
      </c>
      <c r="G48" s="319"/>
      <c r="H48" s="319"/>
      <c r="I48" s="319"/>
      <c r="J48" s="319"/>
      <c r="V48" s="319"/>
    </row>
    <row r="49" spans="6:35" x14ac:dyDescent="0.25">
      <c r="F49" s="319" t="s">
        <v>214</v>
      </c>
      <c r="G49" s="319"/>
      <c r="H49" s="319"/>
      <c r="I49" s="319"/>
      <c r="J49" s="319"/>
      <c r="V49" s="319"/>
    </row>
    <row r="50" spans="6:35" x14ac:dyDescent="0.25">
      <c r="F50" s="319" t="s">
        <v>68</v>
      </c>
      <c r="G50" s="319"/>
      <c r="H50" s="319"/>
      <c r="I50" s="319"/>
      <c r="J50" s="319"/>
      <c r="V50" s="319"/>
    </row>
    <row r="51" spans="6:35" x14ac:dyDescent="0.25">
      <c r="F51" s="319" t="s">
        <v>215</v>
      </c>
      <c r="G51" s="319"/>
      <c r="H51" s="319"/>
      <c r="I51" s="319"/>
      <c r="J51" s="319"/>
      <c r="V51" s="319"/>
    </row>
    <row r="52" spans="1:35" x14ac:dyDescent="0.25">
      <c r="A52">
        <v>8</v>
      </c>
      <c r="F52" s="319" t="s">
        <v>216</v>
      </c>
      <c r="G52" s="319"/>
      <c r="H52" s="319"/>
      <c r="I52" s="319"/>
      <c r="J52" s="319"/>
      <c r="V52" s="319"/>
    </row>
    <row r="53" spans="1:35" x14ac:dyDescent="0.25">
      <c r="A53">
        <v>9</v>
      </c>
      <c r="F53" s="319" t="s">
        <v>217</v>
      </c>
      <c r="G53" s="319"/>
      <c r="H53" s="319"/>
      <c r="I53" s="319"/>
      <c r="J53" s="319"/>
      <c r="V53" s="319"/>
    </row>
    <row r="54" spans="6:35" x14ac:dyDescent="0.25">
      <c r="F54" s="319" t="s">
        <v>218</v>
      </c>
      <c r="G54" s="319"/>
      <c r="H54" s="319"/>
      <c r="I54" s="319"/>
      <c r="J54" s="319"/>
      <c r="V54" s="319"/>
    </row>
    <row r="55" spans="6:35" x14ac:dyDescent="0.25">
      <c r="F55" s="319" t="s">
        <v>68</v>
      </c>
      <c r="G55" s="319"/>
      <c r="H55" s="319"/>
      <c r="I55" s="319"/>
      <c r="J55" s="319"/>
      <c r="V55" s="319"/>
    </row>
    <row r="56" spans="6:35" x14ac:dyDescent="0.25">
      <c r="F56" s="319" t="s">
        <v>219</v>
      </c>
      <c r="G56" s="319"/>
      <c r="H56" s="319"/>
      <c r="I56" s="319"/>
      <c r="J56" s="319"/>
      <c r="V56" s="319"/>
    </row>
    <row r="57" spans="1:35" x14ac:dyDescent="0.25">
      <c r="A57">
        <v>10</v>
      </c>
      <c r="F57" s="319" t="s">
        <v>220</v>
      </c>
      <c r="G57" s="319"/>
      <c r="H57" s="319"/>
      <c r="I57" s="319"/>
      <c r="J57" s="319"/>
      <c r="V57" s="319"/>
    </row>
    <row r="58" spans="6:35" x14ac:dyDescent="0.25">
      <c r="F58" s="319" t="s">
        <v>221</v>
      </c>
      <c r="G58" s="319"/>
      <c r="H58" s="319"/>
      <c r="I58" s="319"/>
      <c r="J58" s="319"/>
      <c r="V58" s="319"/>
    </row>
    <row r="59" spans="1:35" x14ac:dyDescent="0.25">
      <c r="A59">
        <v>11</v>
      </c>
      <c r="F59" s="319" t="s">
        <v>222</v>
      </c>
      <c r="G59" s="319"/>
      <c r="H59" s="319"/>
      <c r="I59" s="319"/>
      <c r="J59" s="319"/>
      <c r="V59" s="319"/>
    </row>
    <row r="60" spans="6:35" x14ac:dyDescent="0.25">
      <c r="F60" s="319" t="s">
        <v>223</v>
      </c>
      <c r="G60" s="319"/>
      <c r="H60" s="319"/>
      <c r="I60" s="319"/>
      <c r="J60" s="319"/>
      <c r="V60" s="319"/>
    </row>
    <row r="61" spans="6:35" x14ac:dyDescent="0.25">
      <c r="F61" s="319"/>
      <c r="G61" s="319"/>
      <c r="H61" s="319"/>
      <c r="I61" s="319"/>
      <c r="J61" s="319"/>
      <c r="V61" s="319"/>
    </row>
    <row r="62" spans="6:35" x14ac:dyDescent="0.25">
      <c r="F62" s="319"/>
      <c r="G62" s="319"/>
      <c r="H62" s="319"/>
      <c r="I62" s="319"/>
      <c r="J62" s="319"/>
      <c r="V62" s="319"/>
    </row>
    <row r="63" spans="6:35" x14ac:dyDescent="0.25">
      <c r="F63" s="319"/>
      <c r="G63" s="319"/>
      <c r="H63" s="319"/>
      <c r="I63" s="319"/>
      <c r="J63" s="319"/>
      <c r="V63" s="319"/>
    </row>
    <row r="64" spans="6:35" x14ac:dyDescent="0.25">
      <c r="F64" s="319"/>
      <c r="G64" s="319"/>
      <c r="H64" s="319"/>
      <c r="I64" s="319"/>
      <c r="J64" s="319"/>
      <c r="V64" s="319"/>
    </row>
    <row r="65" spans="6:35" x14ac:dyDescent="0.25">
      <c r="F65" s="319"/>
      <c r="G65" s="319"/>
      <c r="H65" s="319"/>
      <c r="I65" s="319"/>
      <c r="J65" s="319"/>
      <c r="V65" s="319"/>
    </row>
    <row r="66" spans="6:35" x14ac:dyDescent="0.25">
      <c r="F66" s="319"/>
      <c r="G66" s="319"/>
      <c r="H66" s="319"/>
      <c r="I66" s="319"/>
      <c r="J66" s="319"/>
      <c r="V66" s="319"/>
    </row>
    <row r="67" spans="6:35" x14ac:dyDescent="0.25">
      <c r="F67" s="319"/>
      <c r="G67" s="319"/>
      <c r="H67" s="319"/>
      <c r="I67" s="319"/>
      <c r="J67" s="319"/>
      <c r="V67" s="319"/>
    </row>
    <row r="68" spans="6:35" x14ac:dyDescent="0.25">
      <c r="F68" s="319" t="s">
        <v>68</v>
      </c>
      <c r="G68" s="319"/>
      <c r="H68" s="319"/>
      <c r="I68" s="319"/>
      <c r="J68" s="319"/>
      <c r="V68" s="319"/>
    </row>
    <row r="69" spans="6:35" x14ac:dyDescent="0.25">
      <c r="F69" s="319" t="s">
        <v>224</v>
      </c>
      <c r="G69" s="319"/>
      <c r="H69" s="319"/>
      <c r="I69" s="319"/>
      <c r="J69" s="319"/>
      <c r="V69" s="319"/>
    </row>
    <row r="70" spans="1:35" x14ac:dyDescent="0.25">
      <c r="A70">
        <v>4</v>
      </c>
      <c r="F70" s="322" t="s">
        <v>225</v>
      </c>
      <c r="I70" s="323">
        <f>VALUE(LEFT(TRIM(I23),FIND("/",TRIM(I23))-1))*12 + VALUE(MID(TRIM(I23),FIND("/",TRIM(I23))+1,50))</f>
        <v>86</v>
      </c>
      <c r="J70" s="323"/>
      <c r="K70" s="323" t="e">
        <f t="shared" ref="K70:V70" si="13">VALUE(LEFT(TRIM(K23),FIND("/",TRIM(K23))-1))*12 + VALUE(MID(TRIM(K23),FIND("/",TRIM(K23))+1,50))</f>
        <v>#VALUE!</v>
      </c>
      <c r="L70" s="323"/>
      <c r="M70" s="323"/>
      <c r="N70" s="323"/>
      <c r="O70" s="323"/>
      <c r="P70" s="323"/>
      <c r="Q70" s="323"/>
      <c r="R70" s="323"/>
      <c r="S70" s="323"/>
      <c r="T70" s="323"/>
      <c r="U70" s="323"/>
      <c r="V70" s="323"/>
      <c r="W70" s="323"/>
      <c r="X70" s="323"/>
      <c r="Y70" s="323"/>
      <c r="Z70" s="323"/>
      <c r="AA70" s="323"/>
      <c r="AB70" s="323"/>
      <c r="AC70" s="323"/>
      <c r="AD70" s="323"/>
      <c r="AE70" s="323"/>
      <c r="AF70" s="323"/>
      <c r="AG70" s="323"/>
      <c r="AH70" s="323"/>
      <c r="AI70" s="323"/>
    </row>
  </sheetData>
  <pageMargins left="0.7" right="0.7" top="0.75" bottom="0.75" header="0.3" footer="0.3"/>
  <pageSetup paperSize="3" orientation="landscape" horizontalDpi="4294967295" verticalDpi="4294967295" scale="88" fitToWidth="1" fitToHeight="0" firstPageNumber="1" useFirstPageNumber="1" copies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40"/>
  <sheetViews>
    <sheetView workbookViewId="0" showGridLines="0" zoomScale="100" zoomScaleNormal="100">
      <selection activeCell="A26" sqref="A26"/>
    </sheetView>
  </sheetViews>
  <sheetFormatPr defaultRowHeight="15" outlineLevelRow="0" outlineLevelCol="0" x14ac:dyDescent="0.25"/>
  <cols>
    <col min="1" max="1" width="54.85546875" customWidth="1"/>
    <col min="2" max="2" width="10" customWidth="1"/>
    <col min="3" max="3" width="12" customWidth="1"/>
    <col min="5" max="5" width="54.85546875" customWidth="1"/>
    <col min="6" max="6" width="10" customWidth="1"/>
    <col min="7" max="7" width="12" customWidth="1"/>
    <col min="9" max="9" width="54.85546875" customWidth="1"/>
    <col min="10" max="10" width="10" customWidth="1"/>
    <col min="11" max="11" width="12" customWidth="1"/>
  </cols>
  <sheetData>
    <row r="2" spans="1:9" x14ac:dyDescent="0.25">
      <c r="A2" s="317" t="s">
        <v>312</v>
      </c>
      <c r="E2" s="317" t="s">
        <v>312</v>
      </c>
      <c r="I2" s="317" t="s">
        <v>312</v>
      </c>
    </row>
    <row r="3" spans="1:11" x14ac:dyDescent="0.25">
      <c r="A3" s="318" t="s">
        <v>313</v>
      </c>
      <c r="B3" s="318"/>
      <c r="C3" s="424"/>
      <c r="D3" s="425"/>
      <c r="E3" s="318" t="s">
        <v>287</v>
      </c>
      <c r="F3" s="318"/>
      <c r="G3" s="424"/>
      <c r="H3" s="425"/>
      <c r="I3" s="318" t="s">
        <v>151</v>
      </c>
      <c r="J3" s="318"/>
      <c r="K3" s="424"/>
    </row>
    <row r="4" spans="1:11" x14ac:dyDescent="0.25">
      <c r="A4" s="318"/>
      <c r="B4" s="318"/>
      <c r="C4" s="424"/>
      <c r="D4" s="425"/>
      <c r="E4" s="318"/>
      <c r="F4" s="318"/>
      <c r="G4" s="424"/>
      <c r="H4" s="425"/>
      <c r="I4" s="318"/>
      <c r="J4" s="318"/>
      <c r="K4" s="424"/>
    </row>
    <row r="5" spans="1:11" x14ac:dyDescent="0.25">
      <c r="A5" s="319"/>
      <c r="B5" s="319"/>
      <c r="C5" s="426"/>
      <c r="D5" s="425"/>
      <c r="E5" s="319"/>
      <c r="F5" s="319"/>
      <c r="G5" s="426"/>
      <c r="H5" s="425"/>
      <c r="I5" s="319"/>
      <c r="J5" s="319"/>
      <c r="K5" s="426"/>
    </row>
    <row r="6" spans="1:11" x14ac:dyDescent="0.25">
      <c r="A6" s="319"/>
      <c r="B6" s="319"/>
      <c r="C6" s="426"/>
      <c r="D6" s="425"/>
      <c r="E6" s="319"/>
      <c r="F6" s="319"/>
      <c r="G6" s="426"/>
      <c r="H6" s="425"/>
      <c r="I6" s="319"/>
      <c r="J6" s="319"/>
      <c r="K6" s="426"/>
    </row>
    <row r="7" spans="1:11" x14ac:dyDescent="0.25">
      <c r="A7" s="319"/>
      <c r="B7" s="319"/>
      <c r="C7" s="426"/>
      <c r="D7" s="425"/>
      <c r="E7" s="319"/>
      <c r="F7" s="319"/>
      <c r="G7" s="426"/>
      <c r="H7" s="425"/>
      <c r="I7" s="319"/>
      <c r="J7" s="319"/>
      <c r="K7" s="426"/>
    </row>
    <row r="8" spans="1:11" x14ac:dyDescent="0.25">
      <c r="A8" s="319"/>
      <c r="B8" s="319"/>
      <c r="C8" s="426"/>
      <c r="D8" s="425"/>
      <c r="E8" s="319"/>
      <c r="F8" s="319"/>
      <c r="G8" s="426"/>
      <c r="H8" s="425"/>
      <c r="I8" s="319"/>
      <c r="J8" s="319"/>
      <c r="K8" s="426"/>
    </row>
    <row r="9" spans="1:11" x14ac:dyDescent="0.25">
      <c r="A9" s="319"/>
      <c r="B9" s="319"/>
      <c r="C9" s="426"/>
      <c r="D9" s="425"/>
      <c r="E9" s="319"/>
      <c r="F9" s="319"/>
      <c r="G9" s="426"/>
      <c r="H9" s="425"/>
      <c r="I9" s="319"/>
      <c r="J9" s="319"/>
      <c r="K9" s="426"/>
    </row>
    <row r="10" spans="1:11" x14ac:dyDescent="0.25">
      <c r="A10" s="319"/>
      <c r="B10" s="319"/>
      <c r="C10" s="426"/>
      <c r="D10" s="425"/>
      <c r="E10" s="319"/>
      <c r="F10" s="319"/>
      <c r="G10" s="426"/>
      <c r="H10" s="425"/>
      <c r="I10" s="319"/>
      <c r="J10" s="319"/>
      <c r="K10" s="426"/>
    </row>
    <row r="11" spans="1:11" x14ac:dyDescent="0.25">
      <c r="A11" s="319"/>
      <c r="B11" s="319"/>
      <c r="C11" s="426"/>
      <c r="D11" s="425"/>
      <c r="E11" s="319"/>
      <c r="F11" s="319"/>
      <c r="G11" s="426"/>
      <c r="H11" s="425"/>
      <c r="I11" s="319"/>
      <c r="J11" s="319"/>
      <c r="K11" s="426"/>
    </row>
    <row r="12" spans="1:11" x14ac:dyDescent="0.25">
      <c r="A12" s="319"/>
      <c r="B12" s="319"/>
      <c r="C12" s="426"/>
      <c r="D12" s="425"/>
      <c r="E12" s="319"/>
      <c r="F12" s="319"/>
      <c r="G12" s="426"/>
      <c r="H12" s="425"/>
      <c r="I12" s="319"/>
      <c r="J12" s="319"/>
      <c r="K12" s="426"/>
    </row>
    <row r="13" spans="1:11" x14ac:dyDescent="0.25">
      <c r="A13" s="319"/>
      <c r="B13" s="319"/>
      <c r="C13" s="426"/>
      <c r="D13" s="425"/>
      <c r="E13" s="319"/>
      <c r="F13" s="319"/>
      <c r="G13" s="426"/>
      <c r="H13" s="425"/>
      <c r="I13" s="319"/>
      <c r="J13" s="319"/>
      <c r="K13" s="426"/>
    </row>
    <row r="14" spans="1:11" x14ac:dyDescent="0.25">
      <c r="A14" s="319"/>
      <c r="B14" s="319"/>
      <c r="C14" s="426"/>
      <c r="D14" s="425"/>
      <c r="E14" s="319"/>
      <c r="F14" s="319"/>
      <c r="G14" s="426"/>
      <c r="H14" s="425"/>
      <c r="I14" s="319"/>
      <c r="J14" s="319"/>
      <c r="K14" s="426"/>
    </row>
    <row r="15" spans="1:11" x14ac:dyDescent="0.25">
      <c r="A15" s="319"/>
      <c r="B15" s="319"/>
      <c r="C15" s="426"/>
      <c r="D15" s="425"/>
      <c r="E15" s="319"/>
      <c r="F15" s="319"/>
      <c r="G15" s="426"/>
      <c r="H15" s="425"/>
      <c r="I15" s="319"/>
      <c r="J15" s="319"/>
      <c r="K15" s="426"/>
    </row>
    <row r="16" spans="1:11" x14ac:dyDescent="0.25">
      <c r="A16" s="319"/>
      <c r="B16" s="319"/>
      <c r="C16" s="426"/>
      <c r="D16" s="425"/>
      <c r="E16" s="319"/>
      <c r="F16" s="319"/>
      <c r="G16" s="426"/>
      <c r="H16" s="425"/>
      <c r="I16" s="319"/>
      <c r="J16" s="319"/>
      <c r="K16" s="426"/>
    </row>
    <row r="17" spans="1:11" x14ac:dyDescent="0.25">
      <c r="A17" s="319"/>
      <c r="B17" s="319"/>
      <c r="C17" s="426"/>
      <c r="D17" s="425"/>
      <c r="E17" s="319"/>
      <c r="F17" s="319"/>
      <c r="G17" s="426"/>
      <c r="H17" s="425"/>
      <c r="I17" s="319"/>
      <c r="J17" s="319"/>
      <c r="K17" s="426"/>
    </row>
    <row r="18" spans="1:11" x14ac:dyDescent="0.25">
      <c r="A18" s="319"/>
      <c r="B18" s="319"/>
      <c r="C18" s="426"/>
      <c r="D18" s="425"/>
      <c r="E18" s="319"/>
      <c r="F18" s="319"/>
      <c r="G18" s="426"/>
      <c r="H18" s="425"/>
      <c r="I18" s="319"/>
      <c r="J18" s="319"/>
      <c r="K18" s="426"/>
    </row>
    <row r="19" spans="1:11" x14ac:dyDescent="0.25">
      <c r="A19" s="319"/>
      <c r="B19" s="319"/>
      <c r="C19" s="426"/>
      <c r="D19" s="425"/>
      <c r="E19" s="319"/>
      <c r="F19" s="319"/>
      <c r="G19" s="426"/>
      <c r="H19" s="425"/>
      <c r="I19" s="319"/>
      <c r="J19" s="319"/>
      <c r="K19" s="426"/>
    </row>
    <row r="20" spans="1:11" x14ac:dyDescent="0.25">
      <c r="A20" s="319"/>
      <c r="B20" s="319"/>
      <c r="C20" s="426"/>
      <c r="D20" s="425"/>
      <c r="E20" s="319"/>
      <c r="F20" s="319"/>
      <c r="G20" s="426"/>
      <c r="H20" s="425"/>
      <c r="I20" s="319"/>
      <c r="J20" s="319"/>
      <c r="K20" s="426"/>
    </row>
    <row r="21" spans="1:11" x14ac:dyDescent="0.25">
      <c r="A21" s="319"/>
      <c r="B21" s="319"/>
      <c r="C21" s="426"/>
      <c r="D21" s="425"/>
      <c r="E21" s="319"/>
      <c r="F21" s="319"/>
      <c r="G21" s="426"/>
      <c r="H21" s="425"/>
      <c r="I21" s="319"/>
      <c r="J21" s="319"/>
      <c r="K21" s="426"/>
    </row>
    <row r="22" spans="1:11" x14ac:dyDescent="0.25">
      <c r="A22" s="317"/>
      <c r="B22" s="319"/>
      <c r="C22" s="426"/>
      <c r="D22" s="425"/>
      <c r="E22" s="319"/>
      <c r="F22" s="319"/>
      <c r="G22" s="426"/>
      <c r="H22" s="425"/>
      <c r="I22" s="319"/>
      <c r="J22" s="319"/>
      <c r="K22" s="426"/>
    </row>
    <row r="23" spans="1:11" x14ac:dyDescent="0.25">
      <c r="A23" s="319"/>
      <c r="B23" s="319"/>
      <c r="C23" s="426"/>
      <c r="D23" s="425"/>
      <c r="E23" s="319"/>
      <c r="F23" s="319"/>
      <c r="G23" s="426"/>
      <c r="H23" s="425"/>
      <c r="I23" s="319"/>
      <c r="J23" s="319"/>
      <c r="K23" s="426"/>
    </row>
    <row r="24" spans="1:11" x14ac:dyDescent="0.25">
      <c r="A24" s="319"/>
      <c r="B24" s="319"/>
      <c r="C24" s="426"/>
      <c r="D24" s="425"/>
      <c r="E24" s="319"/>
      <c r="F24" s="319"/>
      <c r="G24" s="426"/>
      <c r="H24" s="425"/>
      <c r="I24" s="319"/>
      <c r="J24" s="319"/>
      <c r="K24" s="426"/>
    </row>
    <row r="25" spans="1:11" x14ac:dyDescent="0.25">
      <c r="C25" s="264"/>
      <c r="D25" s="425"/>
      <c r="G25" s="264"/>
      <c r="H25" s="425"/>
      <c r="K25" s="264"/>
    </row>
    <row r="26" spans="1:11" x14ac:dyDescent="0.25">
      <c r="C26" s="264"/>
      <c r="D26" s="425"/>
      <c r="G26" s="264"/>
      <c r="H26" s="425"/>
      <c r="K26" s="264"/>
    </row>
    <row r="27" spans="1:11" x14ac:dyDescent="0.25">
      <c r="C27" s="264"/>
      <c r="D27" s="425"/>
      <c r="G27" s="264"/>
      <c r="H27" s="425"/>
      <c r="K27" s="264"/>
    </row>
    <row r="28" spans="1:11" x14ac:dyDescent="0.25">
      <c r="C28" s="264"/>
      <c r="D28" s="425"/>
      <c r="G28" s="264"/>
      <c r="H28" s="425"/>
      <c r="K28" s="264"/>
    </row>
    <row r="29" spans="1:11" x14ac:dyDescent="0.25">
      <c r="C29" s="264"/>
      <c r="D29" s="425"/>
      <c r="G29" s="264"/>
      <c r="H29" s="425"/>
      <c r="K29" s="264"/>
    </row>
    <row r="30" spans="1:11" x14ac:dyDescent="0.25">
      <c r="C30" s="264"/>
      <c r="D30" s="425"/>
      <c r="G30" s="264"/>
      <c r="H30" s="425"/>
      <c r="K30" s="264"/>
    </row>
    <row r="31" spans="1:11" x14ac:dyDescent="0.25">
      <c r="C31" s="264"/>
      <c r="D31" s="425"/>
      <c r="G31" s="264"/>
      <c r="H31" s="425"/>
      <c r="K31" s="264"/>
    </row>
    <row r="32" spans="1:11" x14ac:dyDescent="0.25">
      <c r="C32" s="264"/>
      <c r="D32" s="425"/>
      <c r="G32" s="264"/>
      <c r="H32" s="425"/>
      <c r="K32" s="264"/>
    </row>
    <row r="33" spans="1:11" x14ac:dyDescent="0.25">
      <c r="C33" s="264"/>
      <c r="D33" s="425"/>
      <c r="G33" s="264"/>
      <c r="H33" s="425"/>
      <c r="K33" s="264"/>
    </row>
    <row r="34" spans="1:11" x14ac:dyDescent="0.25">
      <c r="C34" s="264"/>
      <c r="D34" s="425"/>
      <c r="G34" s="264"/>
      <c r="H34" s="425"/>
      <c r="K34" s="264"/>
    </row>
    <row r="35" spans="1:11" x14ac:dyDescent="0.25">
      <c r="C35" s="264"/>
      <c r="D35" s="425"/>
      <c r="G35" s="264"/>
      <c r="H35" s="425"/>
      <c r="K35" s="264"/>
    </row>
    <row r="36" spans="1:11" x14ac:dyDescent="0.25">
      <c r="C36" s="264"/>
      <c r="D36" s="425"/>
      <c r="G36" s="264"/>
      <c r="H36" s="425"/>
      <c r="K36" s="264"/>
    </row>
    <row r="37" spans="1:11" x14ac:dyDescent="0.25">
      <c r="C37" s="264"/>
      <c r="D37" s="425"/>
      <c r="G37" s="264"/>
      <c r="H37" s="425"/>
      <c r="K37" s="264"/>
    </row>
    <row r="38" spans="1:11" x14ac:dyDescent="0.25">
      <c r="C38" s="264"/>
      <c r="D38" s="425"/>
      <c r="G38" s="264"/>
      <c r="H38" s="425"/>
      <c r="K38" s="264"/>
    </row>
    <row r="39" spans="1:11" x14ac:dyDescent="0.25">
      <c r="C39" s="264"/>
      <c r="D39" s="425"/>
      <c r="G39" s="264"/>
      <c r="H39" s="425"/>
      <c r="K39" s="264"/>
    </row>
    <row r="40" spans="1:11" x14ac:dyDescent="0.25">
      <c r="C40" s="264"/>
      <c r="D40" s="425"/>
      <c r="G40" s="264"/>
      <c r="H40" s="425"/>
      <c r="K40" s="26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Cash Flow</vt:lpstr>
      <vt:lpstr>MLAs</vt:lpstr>
      <vt:lpstr>Lease-Up</vt:lpstr>
      <vt:lpstr>Rent Roll</vt:lpstr>
      <vt:lpstr>CapEx Detail</vt:lpstr>
      <vt:lpstr>Argus (Lease Audit)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Grant Kuhlmann</dc:creator>
  <dc:title/>
  <dc:subject/>
  <dc:description/>
  <cp:keywords/>
  <cp:category/>
  <cp:lastModifiedBy>Will Walters</cp:lastModifiedBy>
  <cp:contentStatus/>
  <dcterms:created xsi:type="dcterms:W3CDTF">2021-09-28T00:28:02Z</dcterms:created>
  <dcterms:modified xsi:type="dcterms:W3CDTF">2026-06-17T20:00:34Z</dcterms:modified>
</cp:coreProperties>
</file>